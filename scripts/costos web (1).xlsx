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_base" sheetId="1" r:id="rId4"/>
    <sheet state="visible" name="Copia de precios_base" sheetId="2" r:id="rId5"/>
    <sheet state="visible" name="precios_personalizacion" sheetId="3" r:id="rId6"/>
    <sheet state="visible" name="resumen_precios_finales" sheetId="4" r:id="rId7"/>
    <sheet state="visible" name="instrucciones_robot" sheetId="5" r:id="rId8"/>
  </sheets>
  <definedNames/>
  <calcPr/>
  <extLst>
    <ext uri="GoogleSheetsCustomDataVersion2">
      <go:sheetsCustomData xmlns:go="http://customooxmlschemas.google.com/" r:id="rId9" roundtripDataChecksum="dD8wNKnJLqAVFdbcQ1k55mXssj+GyYhtAdwh4U36uyc="/>
    </ext>
  </extLst>
</workbook>
</file>

<file path=xl/sharedStrings.xml><?xml version="1.0" encoding="utf-8"?>
<sst xmlns="http://schemas.openxmlformats.org/spreadsheetml/2006/main" count="1643" uniqueCount="210">
  <si>
    <t>PRECIOS BASE — PRODUCTOS LISOS (sin personalización)</t>
  </si>
  <si>
    <t>Completar celdas amarillas con precio por unidad en pesos. Dejar vacío si no aplica.</t>
  </si>
  <si>
    <t>producto</t>
  </si>
  <si>
    <t>variante/detalle</t>
  </si>
  <si>
    <t>cantidad_min</t>
  </si>
  <si>
    <t>cantidad_max</t>
  </si>
  <si>
    <t>precio_unitario_$</t>
  </si>
  <si>
    <t>% desc</t>
  </si>
  <si>
    <t>remera</t>
  </si>
  <si>
    <t>algodón</t>
  </si>
  <si>
    <t>remera negra</t>
  </si>
  <si>
    <t>remera vintage</t>
  </si>
  <si>
    <t>buzo promocional</t>
  </si>
  <si>
    <t>algodón total</t>
  </si>
  <si>
    <t>campera con capucha</t>
  </si>
  <si>
    <t>gorra</t>
  </si>
  <si>
    <t>shopperbag lona</t>
  </si>
  <si>
    <t>totebag lona</t>
  </si>
  <si>
    <t>totebag canva beige 40x45</t>
  </si>
  <si>
    <t>totebag canva negra 40x45</t>
  </si>
  <si>
    <t>totebag plástica tipo chandon 50x37x10</t>
  </si>
  <si>
    <t>tote rígida</t>
  </si>
  <si>
    <t>bolso tejido</t>
  </si>
  <si>
    <t>riñonera</t>
  </si>
  <si>
    <t>morral sin logo</t>
  </si>
  <si>
    <t>mochila negra</t>
  </si>
  <si>
    <t>mochila gris</t>
  </si>
  <si>
    <t>bolso deportivo 40L sin logo</t>
  </si>
  <si>
    <t>bolso de cuero</t>
  </si>
  <si>
    <t>shoulder bag polyester 33x17x10</t>
  </si>
  <si>
    <t>bolsa cosmética PU+cloth 25x12x14</t>
  </si>
  <si>
    <t>lona algodon</t>
  </si>
  <si>
    <t>delantal</t>
  </si>
  <si>
    <t>botella acero inoxidable blanca 750ml</t>
  </si>
  <si>
    <t>botella acero inoxidable negra 750ml</t>
  </si>
  <si>
    <t>botella de vidrio 500ml</t>
  </si>
  <si>
    <t>termo pajita acero inox 900ml</t>
  </si>
  <si>
    <t>vaso termico</t>
  </si>
  <si>
    <t>ice bucket zinc iron D23xH19xB17</t>
  </si>
  <si>
    <t>notebook A5 negro 14.2x21.2cm</t>
  </si>
  <si>
    <t>bolígrafo</t>
  </si>
  <si>
    <t>llavero</t>
  </si>
  <si>
    <t>seahorse bottle opener</t>
  </si>
  <si>
    <t>bolsa 5L 23x19cm sin logo</t>
  </si>
  <si>
    <t>totebag de lienzo</t>
  </si>
  <si>
    <t>totebag color</t>
  </si>
  <si>
    <t>totebag personalizado</t>
  </si>
  <si>
    <t>totebag con correas personalizadas</t>
  </si>
  <si>
    <t>shopperbag lienzo</t>
  </si>
  <si>
    <t>shopperbag negra</t>
  </si>
  <si>
    <t>shopperbag canvas??</t>
  </si>
  <si>
    <t>PRODUCTOS NUEVOS — completar precios</t>
  </si>
  <si>
    <t>termo Stanley Mate System</t>
  </si>
  <si>
    <t>← completar</t>
  </si>
  <si>
    <t>en adelante</t>
  </si>
  <si>
    <t>botella térmica Stanley Flip Straw Tumbler</t>
  </si>
  <si>
    <t>taza/vaso térmico Stanley Camp Mug</t>
  </si>
  <si>
    <t>vaso Stanley Mundial 2026</t>
  </si>
  <si>
    <t>vaso plástico reutilizable Mundial 2026</t>
  </si>
  <si>
    <t>bolso weekender</t>
  </si>
  <si>
    <t>funda de cuero laptop</t>
  </si>
  <si>
    <t>mochila Unicross</t>
  </si>
  <si>
    <t>kit Summer</t>
  </si>
  <si>
    <t>remera + abanico + gorra</t>
  </si>
  <si>
    <t>kit promocional verano</t>
  </si>
  <si>
    <t>abanico + totebag + gorra</t>
  </si>
  <si>
    <t>kit Festival</t>
  </si>
  <si>
    <t>remera + abanico + anteojos</t>
  </si>
  <si>
    <t>kit Tote + Botella</t>
  </si>
  <si>
    <t>totebag lona + botella 750ml</t>
  </si>
  <si>
    <t>kit Weekend</t>
  </si>
  <si>
    <t>botella 750ml + lona de playa</t>
  </si>
  <si>
    <t>kit de bienvenida</t>
  </si>
  <si>
    <t>mochila oficina + botella 750ml + libreta A5</t>
  </si>
  <si>
    <t>kit premium</t>
  </si>
  <si>
    <t>funda laptop + libreta A5</t>
  </si>
  <si>
    <t>kit Sport</t>
  </si>
  <si>
    <t>bolso deportivo + botella 750ml</t>
  </si>
  <si>
    <t>kit Gift</t>
  </si>
  <si>
    <t>totebag lona + gorra vintage</t>
  </si>
  <si>
    <t>kit Office</t>
  </si>
  <si>
    <t>neceser premium + mousepad de cuero</t>
  </si>
  <si>
    <t>kit Festival (abanico)</t>
  </si>
  <si>
    <t>totebag lona + morral luna + gorra vintage + abanico</t>
  </si>
  <si>
    <t>kit Clásico</t>
  </si>
  <si>
    <t>gorra vintage + totebag lona + botella 750ml</t>
  </si>
  <si>
    <t>kit Classic</t>
  </si>
  <si>
    <t>totebag lona + remera vintage</t>
  </si>
  <si>
    <t>kit Yoga</t>
  </si>
  <si>
    <t>bolso weekender + botella 750ml</t>
  </si>
  <si>
    <t>kit Mundial 2026</t>
  </si>
  <si>
    <t>piluso + vaso Stanley + remera</t>
  </si>
  <si>
    <t>piluso de gabardina</t>
  </si>
  <si>
    <t>piluso</t>
  </si>
  <si>
    <t>piluso vintage</t>
  </si>
  <si>
    <t xml:space="preserve">vaso reutilizable </t>
  </si>
  <si>
    <t>PRECIOS DE PERSONALIZACIÓN — datos del archivo Walter</t>
  </si>
  <si>
    <t>Celdas amarillas = completar. Celdas con valor = ya cargado del PDF. Este precio se SUMA al precio base.</t>
  </si>
  <si>
    <t>variante</t>
  </si>
  <si>
    <t>tecnica</t>
  </si>
  <si>
    <t>logos / ubicación</t>
  </si>
  <si>
    <t>colores / diseño / tamaño</t>
  </si>
  <si>
    <t>cant: 50</t>
  </si>
  <si>
    <t>cant: 100</t>
  </si>
  <si>
    <t>cant: 200</t>
  </si>
  <si>
    <t>cant: 500</t>
  </si>
  <si>
    <t>notas</t>
  </si>
  <si>
    <t>blanca</t>
  </si>
  <si>
    <t>serigrafia</t>
  </si>
  <si>
    <t>1 logo</t>
  </si>
  <si>
    <t>1 color</t>
  </si>
  <si>
    <t>2 colores</t>
  </si>
  <si>
    <t>3 colores</t>
  </si>
  <si>
    <t>2 logos frente y espalda</t>
  </si>
  <si>
    <t>diseño 30x40</t>
  </si>
  <si>
    <t>dtf</t>
  </si>
  <si>
    <t>full color</t>
  </si>
  <si>
    <t>negra</t>
  </si>
  <si>
    <t>diseño 25x35</t>
  </si>
  <si>
    <t>bordado</t>
  </si>
  <si>
    <t>2 logos</t>
  </si>
  <si>
    <t>totebag</t>
  </si>
  <si>
    <t>3 colores o más</t>
  </si>
  <si>
    <t>botella/vaso térmico</t>
  </si>
  <si>
    <t>360°</t>
  </si>
  <si>
    <t>plástico</t>
  </si>
  <si>
    <t>metal/vidrio</t>
  </si>
  <si>
    <t>grabado</t>
  </si>
  <si>
    <t>sin color (grabado)</t>
  </si>
  <si>
    <t>tampo</t>
  </si>
  <si>
    <t>laser</t>
  </si>
  <si>
    <t>buzo</t>
  </si>
  <si>
    <t>notebook A5</t>
  </si>
  <si>
    <t>grabado/impresión</t>
  </si>
  <si>
    <t>grabado laser</t>
  </si>
  <si>
    <t>morral</t>
  </si>
  <si>
    <t>mochila</t>
  </si>
  <si>
    <t>bolso deportivo 40L</t>
  </si>
  <si>
    <t>shoulder bag</t>
  </si>
  <si>
    <t>vaso plástico</t>
  </si>
  <si>
    <t>vaso/taza acero inox</t>
  </si>
  <si>
    <t>ice bucket</t>
  </si>
  <si>
    <t>REFERENCIAS DE COLOR:</t>
  </si>
  <si>
    <t xml:space="preserve">  serigrafia</t>
  </si>
  <si>
    <t xml:space="preserve">  dtf</t>
  </si>
  <si>
    <t xml:space="preserve">  bordado</t>
  </si>
  <si>
    <t xml:space="preserve">  tampo</t>
  </si>
  <si>
    <t xml:space="preserve">  grabado / laser</t>
  </si>
  <si>
    <t xml:space="preserve">  sin precio — completar</t>
  </si>
  <si>
    <t>PRODUCTOS NUEVOS — completar precios de personalización</t>
  </si>
  <si>
    <t>1 logo por producto</t>
  </si>
  <si>
    <t>mochila + botella + libreta</t>
  </si>
  <si>
    <t>totebag + morral + gorra + abanico</t>
  </si>
  <si>
    <t>gorra + totebag + botella</t>
  </si>
  <si>
    <t>RESUMEN PRECIOS FINALES — Base + Personalización (precio unitario en $)</t>
  </si>
  <si>
    <t>Los precios TOTALES se calculan automáticamente. Verde = precio completo disponible. Amarillo = falta precio base o personalización.</t>
  </si>
  <si>
    <t>técnica</t>
  </si>
  <si>
    <t>colores / diseño</t>
  </si>
  <si>
    <t>base
50u</t>
  </si>
  <si>
    <t>pers.
50u</t>
  </si>
  <si>
    <t>TOTAL
50u</t>
  </si>
  <si>
    <t>base
100u</t>
  </si>
  <si>
    <t>pers.
100u</t>
  </si>
  <si>
    <t>TOTAL
100u</t>
  </si>
  <si>
    <t>base
200u</t>
  </si>
  <si>
    <t>pers.
200u</t>
  </si>
  <si>
    <t>TOTAL
200u</t>
  </si>
  <si>
    <t>base
500u</t>
  </si>
  <si>
    <t>pers.
500u</t>
  </si>
  <si>
    <t>TOTAL
500u</t>
  </si>
  <si>
    <t>bolso deportivo 40l sin logo</t>
  </si>
  <si>
    <t>mochila unicross</t>
  </si>
  <si>
    <t>vaso/taza acero inox 304</t>
  </si>
  <si>
    <t>notebook a5 negro 14.2x21.2cm</t>
  </si>
  <si>
    <t>REFERENCIAS:  🟢 Verde = precio completo calculado  |  🟡 Amarillo = falta completar precio base o personalización</t>
  </si>
  <si>
    <t>INSTRUCCIONES PARA LA PROGRAMADORA — Configuración del robot de IA</t>
  </si>
  <si>
    <t>LÓGICA DE PRECIO TOTAL</t>
  </si>
  <si>
    <t>Precio total por unidad</t>
  </si>
  <si>
    <t>precio_base (hoja precios_base) + precio_personalizacion (hoja precios_personalizacion)</t>
  </si>
  <si>
    <t>Sin personalización</t>
  </si>
  <si>
    <t>Usar solo precio_base. No sumar personalización.</t>
  </si>
  <si>
    <t>Con personalización</t>
  </si>
  <si>
    <t>precio_base + precio_personalizacion según combinación exacta</t>
  </si>
  <si>
    <t>VARIABLES QUE INGRESA EL USUARIO EN LA WEB</t>
  </si>
  <si>
    <t>1. producto</t>
  </si>
  <si>
    <t>remera / buzo / gorra / piluso / totebag / botella / vaso / bolígrafo / llavero / etc.</t>
  </si>
  <si>
    <t>2. variante</t>
  </si>
  <si>
    <t>blanca / negra / plástico / vidrio / metal (según producto)</t>
  </si>
  <si>
    <t>3. cantidad</t>
  </si>
  <si>
    <t>mínimo 50 unidades. Buscar en rango correspondiente.</t>
  </si>
  <si>
    <t>4. técnica</t>
  </si>
  <si>
    <t>serigrafia / dtf / bordado / grabado / laser / tampo / sin personalización</t>
  </si>
  <si>
    <t>5. descripción personalización</t>
  </si>
  <si>
    <t>cantidad de logos / colores / tamaño del diseño según tabla</t>
  </si>
  <si>
    <t>REGLAS DE NEGOCIO</t>
  </si>
  <si>
    <t>Cantidad mínima</t>
  </si>
  <si>
    <t>50 unidades. Mostrar error si el usuario ingresa menos.</t>
  </si>
  <si>
    <t>Rangos de cantidad</t>
  </si>
  <si>
    <t>50-99 / 100-199 / 200-299 / 500+. Buscar el rango que corresponda.</t>
  </si>
  <si>
    <t>Precio vacío</t>
  </si>
  <si>
    <t>Si la celda está vacía (amarilla), mostrar 'consultar precio' al usuario.</t>
  </si>
  <si>
    <t>Precio total</t>
  </si>
  <si>
    <t>Mostrar precio unitario Y precio total (unitario × cantidad ingresada).</t>
  </si>
  <si>
    <t>Nota precio 100 remera negra</t>
  </si>
  <si>
    <t>El valor $210.000 en el PDF parece un error tipográfico. Verificar con el equipo antes de cargar.</t>
  </si>
  <si>
    <t>ACTUALIZACIÓN</t>
  </si>
  <si>
    <t>Cómo actualizar</t>
  </si>
  <si>
    <t>Modificar celdas amarillas y volver a subir el archivo al sistema.</t>
  </si>
  <si>
    <t>Frecuencia</t>
  </si>
  <si>
    <t>Revisar precios 1 vez por mes o ante cambios de proveedor.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</si>
</sst>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55555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i/>
      <sz val="9.0"/>
      <color rgb="FFAAAAAA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rgb="FFFFFFFF"/>
      <name val="Arial"/>
    </font>
    <font>
      <i/>
      <sz val="9.0"/>
      <color rgb="FF444444"/>
      <name val="Arial"/>
    </font>
    <font>
      <sz val="9.0"/>
      <color rgb="FF555555"/>
      <name val="Arial"/>
    </font>
    <font>
      <b/>
      <sz val="9.0"/>
      <color rgb="FF1B5E20"/>
      <name val="Arial"/>
    </font>
    <font>
      <b/>
      <sz val="9.0"/>
      <color rgb="FFC62828"/>
      <name val="Arial"/>
    </font>
    <font>
      <b/>
      <sz val="11.0"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C2185B"/>
        <bgColor rgb="FFC2185B"/>
      </patternFill>
    </fill>
    <fill>
      <patternFill patternType="solid">
        <fgColor rgb="FFFCE4EC"/>
        <bgColor rgb="FFFCE4EC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F5496"/>
        <bgColor rgb="FF2F5496"/>
      </patternFill>
    </fill>
    <fill>
      <patternFill patternType="solid">
        <fgColor rgb="FFDDEEFF"/>
        <bgColor rgb="FFDDEE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FE0CC"/>
        <bgColor rgb="FFFFE0CC"/>
      </patternFill>
    </fill>
    <fill>
      <patternFill patternType="solid">
        <fgColor rgb="FFF3E5F5"/>
        <bgColor rgb="FFF3E5F5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D6E4F7"/>
        <bgColor rgb="FFD6E4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ill="1" applyFont="1">
      <alignment horizontal="left" vertical="center"/>
    </xf>
    <xf borderId="4" fillId="5" fontId="3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center" vertical="center"/>
    </xf>
    <xf borderId="4" fillId="5" fontId="7" numFmtId="3" xfId="0" applyAlignment="1" applyBorder="1" applyFont="1" applyNumberFormat="1">
      <alignment horizontal="center" readingOrder="0" vertical="center"/>
    </xf>
    <xf borderId="4" fillId="5" fontId="8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left" vertical="center"/>
    </xf>
    <xf borderId="4" fillId="6" fontId="7" numFmtId="3" xfId="0" applyAlignment="1" applyBorder="1" applyFill="1" applyFont="1" applyNumberForma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left" vertical="center"/>
    </xf>
    <xf borderId="4" fillId="6" fontId="3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6" fontId="5" numFmtId="0" xfId="0" applyAlignment="1" applyBorder="1" applyFont="1">
      <alignment horizontal="left" readingOrder="0" vertical="center"/>
    </xf>
    <xf borderId="4" fillId="5" fontId="5" numFmtId="0" xfId="0" applyAlignment="1" applyBorder="1" applyFont="1">
      <alignment horizontal="left" readingOrder="0" vertical="center"/>
    </xf>
    <xf borderId="4" fillId="5" fontId="7" numFmtId="3" xfId="0" applyAlignment="1" applyBorder="1" applyFont="1" applyNumberFormat="1">
      <alignment horizontal="center" vertical="center"/>
    </xf>
    <xf borderId="4" fillId="6" fontId="7" numFmtId="3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4" fillId="7" fontId="6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left" readingOrder="0" vertical="center"/>
    </xf>
    <xf borderId="1" fillId="8" fontId="9" numFmtId="0" xfId="0" applyAlignment="1" applyBorder="1" applyFill="1" applyFont="1">
      <alignment horizontal="left" vertical="center"/>
    </xf>
    <xf borderId="4" fillId="7" fontId="6" numFmtId="0" xfId="0" applyAlignment="1" applyBorder="1" applyFont="1">
      <alignment horizontal="center" readingOrder="0" vertical="center"/>
    </xf>
    <xf borderId="4" fillId="9" fontId="5" numFmtId="0" xfId="0" applyAlignment="1" applyBorder="1" applyFill="1" applyFont="1">
      <alignment horizontal="left" vertical="center"/>
    </xf>
    <xf borderId="4" fillId="9" fontId="3" numFmtId="0" xfId="0" applyAlignment="1" applyBorder="1" applyFont="1">
      <alignment horizontal="left" vertical="center"/>
    </xf>
    <xf borderId="4" fillId="9" fontId="6" numFmtId="0" xfId="0" applyAlignment="1" applyBorder="1" applyFont="1">
      <alignment horizontal="left" vertical="center"/>
    </xf>
    <xf borderId="4" fillId="9" fontId="7" numFmtId="0" xfId="0" applyAlignment="1" applyBorder="1" applyFont="1">
      <alignment horizontal="left" vertical="center"/>
    </xf>
    <xf borderId="4" fillId="9" fontId="7" numFmtId="3" xfId="0" applyAlignment="1" applyBorder="1" applyFont="1" applyNumberFormat="1">
      <alignment horizontal="center" vertical="center"/>
    </xf>
    <xf borderId="4" fillId="9" fontId="8" numFmtId="0" xfId="0" applyAlignment="1" applyBorder="1" applyFont="1">
      <alignment horizontal="left" vertical="center"/>
    </xf>
    <xf borderId="4" fillId="10" fontId="6" numFmtId="0" xfId="0" applyAlignment="1" applyBorder="1" applyFill="1" applyFont="1">
      <alignment horizontal="left" vertical="center"/>
    </xf>
    <xf borderId="4" fillId="10" fontId="3" numFmtId="0" xfId="0" applyAlignment="1" applyBorder="1" applyFont="1">
      <alignment horizontal="left" vertical="center"/>
    </xf>
    <xf borderId="4" fillId="10" fontId="7" numFmtId="0" xfId="0" applyAlignment="1" applyBorder="1" applyFont="1">
      <alignment horizontal="left" vertical="center"/>
    </xf>
    <xf borderId="4" fillId="10" fontId="7" numFmtId="3" xfId="0" applyAlignment="1" applyBorder="1" applyFont="1" applyNumberFormat="1">
      <alignment horizontal="center" vertical="center"/>
    </xf>
    <xf borderId="4" fillId="10" fontId="8" numFmtId="0" xfId="0" applyAlignment="1" applyBorder="1" applyFont="1">
      <alignment horizontal="left" vertical="center"/>
    </xf>
    <xf borderId="4" fillId="11" fontId="5" numFmtId="0" xfId="0" applyAlignment="1" applyBorder="1" applyFill="1" applyFont="1">
      <alignment horizontal="left" vertical="center"/>
    </xf>
    <xf borderId="4" fillId="11" fontId="3" numFmtId="0" xfId="0" applyAlignment="1" applyBorder="1" applyFont="1">
      <alignment horizontal="left" vertical="center"/>
    </xf>
    <xf borderId="4" fillId="11" fontId="6" numFmtId="0" xfId="0" applyAlignment="1" applyBorder="1" applyFont="1">
      <alignment horizontal="left" vertical="center"/>
    </xf>
    <xf borderId="4" fillId="11" fontId="7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left" vertical="center"/>
    </xf>
    <xf borderId="4" fillId="11" fontId="7" numFmtId="3" xfId="0" applyAlignment="1" applyBorder="1" applyFont="1" applyNumberFormat="1">
      <alignment horizontal="center" vertical="center"/>
    </xf>
    <xf borderId="4" fillId="11" fontId="8" numFmtId="0" xfId="0" applyAlignment="1" applyBorder="1" applyFont="1">
      <alignment horizontal="left" vertical="center"/>
    </xf>
    <xf borderId="4" fillId="12" fontId="6" numFmtId="0" xfId="0" applyAlignment="1" applyBorder="1" applyFill="1" applyFont="1">
      <alignment horizontal="left" vertical="center"/>
    </xf>
    <xf borderId="4" fillId="12" fontId="3" numFmtId="0" xfId="0" applyAlignment="1" applyBorder="1" applyFont="1">
      <alignment horizontal="left" vertical="center"/>
    </xf>
    <xf borderId="4" fillId="12" fontId="7" numFmtId="0" xfId="0" applyAlignment="1" applyBorder="1" applyFont="1">
      <alignment horizontal="left" vertical="center"/>
    </xf>
    <xf borderId="4" fillId="12" fontId="7" numFmtId="3" xfId="0" applyAlignment="1" applyBorder="1" applyFont="1" applyNumberFormat="1">
      <alignment horizontal="center" vertical="center"/>
    </xf>
    <xf borderId="4" fillId="12" fontId="8" numFmtId="0" xfId="0" applyAlignment="1" applyBorder="1" applyFont="1">
      <alignment horizontal="left" vertical="center"/>
    </xf>
    <xf borderId="4" fillId="13" fontId="5" numFmtId="0" xfId="0" applyAlignment="1" applyBorder="1" applyFill="1" applyFont="1">
      <alignment horizontal="left" vertical="center"/>
    </xf>
    <xf borderId="4" fillId="13" fontId="3" numFmtId="0" xfId="0" applyAlignment="1" applyBorder="1" applyFont="1">
      <alignment horizontal="left" vertical="center"/>
    </xf>
    <xf borderId="4" fillId="13" fontId="6" numFmtId="0" xfId="0" applyAlignment="1" applyBorder="1" applyFont="1">
      <alignment horizontal="left" vertical="center"/>
    </xf>
    <xf borderId="4" fillId="13" fontId="7" numFmtId="0" xfId="0" applyAlignment="1" applyBorder="1" applyFont="1">
      <alignment horizontal="left" vertical="center"/>
    </xf>
    <xf borderId="4" fillId="13" fontId="7" numFmtId="3" xfId="0" applyAlignment="1" applyBorder="1" applyFont="1" applyNumberFormat="1">
      <alignment horizontal="center" vertical="center"/>
    </xf>
    <xf borderId="4" fillId="13" fontId="8" numFmtId="0" xfId="0" applyAlignment="1" applyBorder="1" applyFont="1">
      <alignment horizontal="left" vertical="center"/>
    </xf>
    <xf borderId="4" fillId="14" fontId="5" numFmtId="0" xfId="0" applyAlignment="1" applyBorder="1" applyFill="1" applyFont="1">
      <alignment horizontal="left" vertical="center"/>
    </xf>
    <xf borderId="4" fillId="14" fontId="3" numFmtId="0" xfId="0" applyAlignment="1" applyBorder="1" applyFont="1">
      <alignment horizontal="left" vertical="center"/>
    </xf>
    <xf borderId="4" fillId="14" fontId="6" numFmtId="0" xfId="0" applyAlignment="1" applyBorder="1" applyFont="1">
      <alignment horizontal="left" vertical="center"/>
    </xf>
    <xf borderId="4" fillId="14" fontId="7" numFmtId="0" xfId="0" applyAlignment="1" applyBorder="1" applyFont="1">
      <alignment horizontal="left" vertical="center"/>
    </xf>
    <xf borderId="4" fillId="14" fontId="7" numFmtId="3" xfId="0" applyAlignment="1" applyBorder="1" applyFont="1" applyNumberFormat="1">
      <alignment horizontal="center" vertical="center"/>
    </xf>
    <xf borderId="4" fillId="14" fontId="8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left" vertical="center"/>
    </xf>
    <xf borderId="4" fillId="12" fontId="5" numFmtId="0" xfId="0" applyAlignment="1" applyBorder="1" applyFont="1">
      <alignment horizontal="left" vertical="center"/>
    </xf>
    <xf borderId="0" fillId="0" fontId="10" numFmtId="0" xfId="0" applyFont="1"/>
    <xf borderId="5" fillId="9" fontId="11" numFmtId="0" xfId="0" applyAlignment="1" applyBorder="1" applyFont="1">
      <alignment horizontal="left" vertical="center"/>
    </xf>
    <xf borderId="5" fillId="10" fontId="11" numFmtId="0" xfId="0" applyAlignment="1" applyBorder="1" applyFont="1">
      <alignment horizontal="left" vertical="center"/>
    </xf>
    <xf borderId="5" fillId="11" fontId="11" numFmtId="0" xfId="0" applyAlignment="1" applyBorder="1" applyFont="1">
      <alignment horizontal="left" vertical="center"/>
    </xf>
    <xf borderId="5" fillId="13" fontId="11" numFmtId="0" xfId="0" applyAlignment="1" applyBorder="1" applyFont="1">
      <alignment horizontal="left" vertical="center"/>
    </xf>
    <xf borderId="5" fillId="12" fontId="11" numFmtId="0" xfId="0" applyAlignment="1" applyBorder="1" applyFont="1">
      <alignment horizontal="left" vertical="center"/>
    </xf>
    <xf borderId="5" fillId="7" fontId="11" numFmtId="0" xfId="0" applyAlignment="1" applyBorder="1" applyFont="1">
      <alignment horizontal="left" vertical="center"/>
    </xf>
    <xf borderId="1" fillId="3" fontId="12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4" fillId="15" fontId="4" numFmtId="0" xfId="0" applyAlignment="1" applyBorder="1" applyFill="1" applyFont="1">
      <alignment horizontal="center" shrinkToFit="0" vertical="center" wrapText="1"/>
    </xf>
    <xf borderId="4" fillId="9" fontId="13" numFmtId="0" xfId="0" applyAlignment="1" applyBorder="1" applyFont="1">
      <alignment horizontal="left" vertical="center"/>
    </xf>
    <xf borderId="4" fillId="9" fontId="13" numFmtId="3" xfId="0" applyAlignment="1" applyBorder="1" applyFont="1" applyNumberFormat="1">
      <alignment horizontal="center" vertical="center"/>
    </xf>
    <xf borderId="4" fillId="16" fontId="14" numFmtId="3" xfId="0" applyAlignment="1" applyBorder="1" applyFill="1" applyFont="1" applyNumberFormat="1">
      <alignment horizontal="center" vertical="center"/>
    </xf>
    <xf borderId="4" fillId="10" fontId="13" numFmtId="0" xfId="0" applyAlignment="1" applyBorder="1" applyFont="1">
      <alignment horizontal="left" vertical="center"/>
    </xf>
    <xf borderId="4" fillId="10" fontId="13" numFmtId="3" xfId="0" applyAlignment="1" applyBorder="1" applyFont="1" applyNumberFormat="1">
      <alignment horizontal="center" vertical="center"/>
    </xf>
    <xf borderId="4" fillId="11" fontId="13" numFmtId="0" xfId="0" applyAlignment="1" applyBorder="1" applyFont="1">
      <alignment horizontal="left" vertical="center"/>
    </xf>
    <xf borderId="4" fillId="11" fontId="13" numFmtId="3" xfId="0" applyAlignment="1" applyBorder="1" applyFont="1" applyNumberFormat="1">
      <alignment horizontal="center" vertical="center"/>
    </xf>
    <xf borderId="4" fillId="7" fontId="13" numFmtId="0" xfId="0" applyAlignment="1" applyBorder="1" applyFont="1">
      <alignment horizontal="center" vertical="center"/>
    </xf>
    <xf borderId="4" fillId="7" fontId="15" numFmtId="3" xfId="0" applyAlignment="1" applyBorder="1" applyFont="1" applyNumberFormat="1">
      <alignment horizontal="center" vertical="center"/>
    </xf>
    <xf borderId="4" fillId="12" fontId="13" numFmtId="0" xfId="0" applyAlignment="1" applyBorder="1" applyFont="1">
      <alignment horizontal="left" vertical="center"/>
    </xf>
    <xf borderId="4" fillId="12" fontId="13" numFmtId="3" xfId="0" applyAlignment="1" applyBorder="1" applyFont="1" applyNumberFormat="1">
      <alignment horizontal="center" vertical="center"/>
    </xf>
    <xf borderId="4" fillId="13" fontId="13" numFmtId="0" xfId="0" applyAlignment="1" applyBorder="1" applyFont="1">
      <alignment horizontal="left" vertical="center"/>
    </xf>
    <xf borderId="4" fillId="13" fontId="13" numFmtId="3" xfId="0" applyAlignment="1" applyBorder="1" applyFont="1" applyNumberFormat="1">
      <alignment horizontal="center" vertical="center"/>
    </xf>
    <xf borderId="4" fillId="14" fontId="13" numFmtId="0" xfId="0" applyAlignment="1" applyBorder="1" applyFont="1">
      <alignment horizontal="left" vertical="center"/>
    </xf>
    <xf borderId="4" fillId="14" fontId="13" numFmtId="3" xfId="0" applyAlignment="1" applyBorder="1" applyFont="1" applyNumberFormat="1">
      <alignment horizontal="center" vertical="center"/>
    </xf>
    <xf borderId="1" fillId="17" fontId="12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6" fillId="8" fontId="16" numFmtId="0" xfId="0" applyAlignment="1" applyBorder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4" fillId="18" fontId="10" numFmtId="0" xfId="0" applyAlignment="1" applyBorder="1" applyFill="1" applyFont="1">
      <alignment horizontal="left" vertical="center"/>
    </xf>
    <xf borderId="6" fillId="6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4.0"/>
    <col customWidth="1" min="3" max="4" width="14.0"/>
    <col customWidth="1" min="5" max="5" width="22.0"/>
    <col customWidth="1" min="6" max="6" width="27.86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>
      <c r="A4" s="7" t="s">
        <v>8</v>
      </c>
      <c r="B4" s="8" t="s">
        <v>9</v>
      </c>
      <c r="C4" s="9">
        <v>50.0</v>
      </c>
      <c r="D4" s="9">
        <v>99.0</v>
      </c>
      <c r="E4" s="10">
        <v>13900.0</v>
      </c>
      <c r="F4" s="11"/>
    </row>
    <row r="5">
      <c r="A5" s="12" t="s">
        <v>8</v>
      </c>
      <c r="B5" s="8" t="s">
        <v>9</v>
      </c>
      <c r="C5" s="9">
        <v>100.0</v>
      </c>
      <c r="D5" s="9">
        <v>199.0</v>
      </c>
      <c r="E5" s="13">
        <v>13900.0</v>
      </c>
      <c r="F5" s="11"/>
    </row>
    <row r="6">
      <c r="A6" s="12" t="s">
        <v>8</v>
      </c>
      <c r="B6" s="8" t="s">
        <v>9</v>
      </c>
      <c r="C6" s="9">
        <v>200.0</v>
      </c>
      <c r="D6" s="14">
        <v>499.0</v>
      </c>
      <c r="E6" s="10">
        <v>12900.0</v>
      </c>
      <c r="F6" s="11"/>
    </row>
    <row r="7">
      <c r="A7" s="12" t="s">
        <v>8</v>
      </c>
      <c r="B7" s="8" t="s">
        <v>9</v>
      </c>
      <c r="C7" s="9">
        <v>500.0</v>
      </c>
      <c r="D7" s="9">
        <v>999.0</v>
      </c>
      <c r="E7" s="13">
        <v>12900.0</v>
      </c>
      <c r="F7" s="11"/>
    </row>
    <row r="8">
      <c r="A8" s="15" t="s">
        <v>10</v>
      </c>
      <c r="B8" s="16" t="s">
        <v>9</v>
      </c>
      <c r="C8" s="17">
        <v>50.0</v>
      </c>
      <c r="D8" s="17">
        <v>99.0</v>
      </c>
      <c r="E8" s="10">
        <v>13900.0</v>
      </c>
      <c r="F8" s="18"/>
    </row>
    <row r="9">
      <c r="A9" s="19" t="s">
        <v>10</v>
      </c>
      <c r="B9" s="16" t="s">
        <v>9</v>
      </c>
      <c r="C9" s="17">
        <v>100.0</v>
      </c>
      <c r="D9" s="17">
        <v>199.0</v>
      </c>
      <c r="E9" s="13">
        <v>13900.0</v>
      </c>
      <c r="F9" s="18"/>
    </row>
    <row r="10">
      <c r="A10" s="19" t="s">
        <v>10</v>
      </c>
      <c r="B10" s="16" t="s">
        <v>9</v>
      </c>
      <c r="C10" s="17">
        <v>200.0</v>
      </c>
      <c r="D10" s="14">
        <v>499.0</v>
      </c>
      <c r="E10" s="10">
        <v>12900.0</v>
      </c>
      <c r="F10" s="18"/>
    </row>
    <row r="11">
      <c r="A11" s="19" t="s">
        <v>10</v>
      </c>
      <c r="B11" s="16" t="s">
        <v>9</v>
      </c>
      <c r="C11" s="17">
        <v>500.0</v>
      </c>
      <c r="D11" s="17">
        <v>999.0</v>
      </c>
      <c r="E11" s="13">
        <v>12900.0</v>
      </c>
      <c r="F11" s="18"/>
    </row>
    <row r="12">
      <c r="A12" s="20" t="s">
        <v>11</v>
      </c>
      <c r="B12" s="16" t="s">
        <v>9</v>
      </c>
      <c r="C12" s="17">
        <v>50.0</v>
      </c>
      <c r="D12" s="17">
        <v>99.0</v>
      </c>
      <c r="E12" s="10">
        <v>17999.0</v>
      </c>
      <c r="F12" s="18"/>
    </row>
    <row r="13">
      <c r="A13" s="20" t="s">
        <v>11</v>
      </c>
      <c r="B13" s="16" t="s">
        <v>9</v>
      </c>
      <c r="C13" s="17">
        <v>100.0</v>
      </c>
      <c r="D13" s="17">
        <v>199.0</v>
      </c>
      <c r="E13" s="13">
        <v>16999.0</v>
      </c>
      <c r="F13" s="18"/>
    </row>
    <row r="14">
      <c r="A14" s="20" t="s">
        <v>11</v>
      </c>
      <c r="B14" s="16" t="s">
        <v>9</v>
      </c>
      <c r="C14" s="17">
        <v>200.0</v>
      </c>
      <c r="D14" s="14">
        <v>499.0</v>
      </c>
      <c r="E14" s="10">
        <v>15999.0</v>
      </c>
      <c r="F14" s="18"/>
    </row>
    <row r="15">
      <c r="A15" s="20" t="s">
        <v>11</v>
      </c>
      <c r="B15" s="16" t="s">
        <v>9</v>
      </c>
      <c r="C15" s="17">
        <v>500.0</v>
      </c>
      <c r="D15" s="17">
        <v>999.0</v>
      </c>
      <c r="E15" s="13">
        <v>14999.0</v>
      </c>
      <c r="F15" s="18"/>
    </row>
    <row r="16">
      <c r="A16" s="21" t="s">
        <v>12</v>
      </c>
      <c r="B16" s="8" t="s">
        <v>13</v>
      </c>
      <c r="C16" s="9">
        <v>50.0</v>
      </c>
      <c r="D16" s="9">
        <v>99.0</v>
      </c>
      <c r="E16" s="10">
        <v>13999.0</v>
      </c>
      <c r="F16" s="11"/>
    </row>
    <row r="17">
      <c r="A17" s="21" t="s">
        <v>12</v>
      </c>
      <c r="B17" s="8" t="s">
        <v>13</v>
      </c>
      <c r="C17" s="9">
        <v>100.0</v>
      </c>
      <c r="D17" s="9">
        <v>199.0</v>
      </c>
      <c r="E17" s="13">
        <v>13999.0</v>
      </c>
      <c r="F17" s="11"/>
    </row>
    <row r="18">
      <c r="A18" s="21" t="s">
        <v>12</v>
      </c>
      <c r="B18" s="8" t="s">
        <v>13</v>
      </c>
      <c r="C18" s="9">
        <v>200.0</v>
      </c>
      <c r="D18" s="14">
        <v>499.0</v>
      </c>
      <c r="E18" s="10">
        <v>12999.0</v>
      </c>
      <c r="F18" s="11"/>
    </row>
    <row r="19">
      <c r="A19" s="21" t="s">
        <v>12</v>
      </c>
      <c r="B19" s="8" t="s">
        <v>13</v>
      </c>
      <c r="C19" s="9">
        <v>500.0</v>
      </c>
      <c r="D19" s="9">
        <v>999.0</v>
      </c>
      <c r="E19" s="13">
        <v>12999.0</v>
      </c>
      <c r="F19" s="11"/>
    </row>
    <row r="20">
      <c r="A20" s="15" t="s">
        <v>14</v>
      </c>
      <c r="B20" s="16"/>
      <c r="C20" s="17">
        <v>50.0</v>
      </c>
      <c r="D20" s="17">
        <v>99.0</v>
      </c>
      <c r="E20" s="10">
        <v>19999.0</v>
      </c>
      <c r="F20" s="18"/>
    </row>
    <row r="21">
      <c r="A21" s="19" t="s">
        <v>14</v>
      </c>
      <c r="B21" s="16"/>
      <c r="C21" s="17">
        <v>100.0</v>
      </c>
      <c r="D21" s="17">
        <v>199.0</v>
      </c>
      <c r="E21" s="13">
        <v>19999.0</v>
      </c>
      <c r="F21" s="18"/>
    </row>
    <row r="22">
      <c r="A22" s="19" t="s">
        <v>14</v>
      </c>
      <c r="B22" s="16"/>
      <c r="C22" s="17">
        <v>200.0</v>
      </c>
      <c r="D22" s="14">
        <v>499.0</v>
      </c>
      <c r="E22" s="10">
        <v>18999.0</v>
      </c>
      <c r="F22" s="18"/>
    </row>
    <row r="23">
      <c r="A23" s="19" t="s">
        <v>14</v>
      </c>
      <c r="B23" s="16"/>
      <c r="C23" s="17">
        <v>500.0</v>
      </c>
      <c r="D23" s="17">
        <v>999.0</v>
      </c>
      <c r="E23" s="13">
        <v>17999.0</v>
      </c>
      <c r="F23" s="18"/>
    </row>
    <row r="24">
      <c r="A24" s="7" t="s">
        <v>15</v>
      </c>
      <c r="B24" s="8" t="s">
        <v>9</v>
      </c>
      <c r="C24" s="9">
        <v>50.0</v>
      </c>
      <c r="D24" s="9">
        <v>99.0</v>
      </c>
      <c r="E24" s="10">
        <v>8999.0</v>
      </c>
      <c r="F24" s="11"/>
    </row>
    <row r="25" ht="15.75" customHeight="1">
      <c r="A25" s="12" t="s">
        <v>15</v>
      </c>
      <c r="B25" s="8" t="s">
        <v>9</v>
      </c>
      <c r="C25" s="9">
        <v>100.0</v>
      </c>
      <c r="D25" s="9">
        <v>199.0</v>
      </c>
      <c r="E25" s="13">
        <v>7999.0</v>
      </c>
      <c r="F25" s="11"/>
    </row>
    <row r="26" ht="15.75" customHeight="1">
      <c r="A26" s="12" t="s">
        <v>15</v>
      </c>
      <c r="B26" s="8" t="s">
        <v>9</v>
      </c>
      <c r="C26" s="9">
        <v>200.0</v>
      </c>
      <c r="D26" s="14">
        <v>499.0</v>
      </c>
      <c r="E26" s="10">
        <v>7999.0</v>
      </c>
      <c r="F26" s="11"/>
    </row>
    <row r="27" ht="15.75" customHeight="1">
      <c r="A27" s="12" t="s">
        <v>15</v>
      </c>
      <c r="B27" s="8" t="s">
        <v>9</v>
      </c>
      <c r="C27" s="9">
        <v>500.0</v>
      </c>
      <c r="D27" s="9">
        <v>999.0</v>
      </c>
      <c r="E27" s="13">
        <v>7999.0</v>
      </c>
      <c r="F27" s="11"/>
    </row>
    <row r="28" ht="15.75" customHeight="1">
      <c r="A28" s="21" t="s">
        <v>16</v>
      </c>
      <c r="B28" s="8"/>
      <c r="C28" s="9">
        <v>50.0</v>
      </c>
      <c r="D28" s="9">
        <v>99.0</v>
      </c>
      <c r="E28" s="22">
        <v>14999.0</v>
      </c>
      <c r="F28" s="11"/>
    </row>
    <row r="29" ht="15.75" customHeight="1">
      <c r="A29" s="12" t="s">
        <v>17</v>
      </c>
      <c r="B29" s="8"/>
      <c r="C29" s="9">
        <v>100.0</v>
      </c>
      <c r="D29" s="9">
        <v>199.0</v>
      </c>
      <c r="E29" s="13">
        <v>14999.0</v>
      </c>
      <c r="F29" s="11"/>
    </row>
    <row r="30" ht="15.75" customHeight="1">
      <c r="A30" s="12" t="s">
        <v>17</v>
      </c>
      <c r="B30" s="8"/>
      <c r="C30" s="9">
        <v>200.0</v>
      </c>
      <c r="D30" s="14">
        <v>499.0</v>
      </c>
      <c r="E30" s="10">
        <v>14999.0</v>
      </c>
      <c r="F30" s="11"/>
    </row>
    <row r="31" ht="15.75" customHeight="1">
      <c r="A31" s="12" t="s">
        <v>17</v>
      </c>
      <c r="B31" s="8"/>
      <c r="C31" s="9">
        <v>500.0</v>
      </c>
      <c r="D31" s="9">
        <v>999.0</v>
      </c>
      <c r="E31" s="13">
        <v>13999.0</v>
      </c>
      <c r="F31" s="11"/>
    </row>
    <row r="32" ht="15.75" customHeight="1">
      <c r="A32" s="15" t="s">
        <v>18</v>
      </c>
      <c r="B32" s="16"/>
      <c r="C32" s="17">
        <v>50.0</v>
      </c>
      <c r="D32" s="17">
        <v>99.0</v>
      </c>
      <c r="E32" s="10">
        <v>6999.0</v>
      </c>
      <c r="F32" s="18"/>
    </row>
    <row r="33" ht="15.75" customHeight="1">
      <c r="A33" s="19" t="s">
        <v>18</v>
      </c>
      <c r="B33" s="16"/>
      <c r="C33" s="17">
        <v>100.0</v>
      </c>
      <c r="D33" s="17">
        <v>199.0</v>
      </c>
      <c r="E33" s="13">
        <v>6999.0</v>
      </c>
      <c r="F33" s="18"/>
    </row>
    <row r="34" ht="15.75" customHeight="1">
      <c r="A34" s="19" t="s">
        <v>18</v>
      </c>
      <c r="B34" s="16"/>
      <c r="C34" s="17">
        <v>200.0</v>
      </c>
      <c r="D34" s="14">
        <v>499.0</v>
      </c>
      <c r="E34" s="10">
        <v>5999.0</v>
      </c>
      <c r="F34" s="18"/>
    </row>
    <row r="35" ht="15.75" customHeight="1">
      <c r="A35" s="19" t="s">
        <v>18</v>
      </c>
      <c r="B35" s="16"/>
      <c r="C35" s="17">
        <v>500.0</v>
      </c>
      <c r="D35" s="17">
        <v>999.0</v>
      </c>
      <c r="E35" s="13">
        <v>5999.0</v>
      </c>
      <c r="F35" s="18"/>
    </row>
    <row r="36" ht="15.75" customHeight="1">
      <c r="A36" s="7" t="s">
        <v>19</v>
      </c>
      <c r="B36" s="8"/>
      <c r="C36" s="9">
        <v>50.0</v>
      </c>
      <c r="D36" s="9">
        <v>99.0</v>
      </c>
      <c r="E36" s="10">
        <v>7999.0</v>
      </c>
      <c r="F36" s="11"/>
    </row>
    <row r="37" ht="15.75" customHeight="1">
      <c r="A37" s="12" t="s">
        <v>19</v>
      </c>
      <c r="B37" s="8"/>
      <c r="C37" s="9">
        <v>100.0</v>
      </c>
      <c r="D37" s="9">
        <v>199.0</v>
      </c>
      <c r="E37" s="13">
        <v>7999.0</v>
      </c>
      <c r="F37" s="11"/>
    </row>
    <row r="38" ht="15.75" customHeight="1">
      <c r="A38" s="12" t="s">
        <v>19</v>
      </c>
      <c r="B38" s="8"/>
      <c r="C38" s="9">
        <v>200.0</v>
      </c>
      <c r="D38" s="14">
        <v>499.0</v>
      </c>
      <c r="E38" s="10">
        <v>6999.0</v>
      </c>
      <c r="F38" s="11"/>
    </row>
    <row r="39" ht="15.75" customHeight="1">
      <c r="A39" s="12" t="s">
        <v>19</v>
      </c>
      <c r="B39" s="8"/>
      <c r="C39" s="9">
        <v>500.0</v>
      </c>
      <c r="D39" s="9">
        <v>999.0</v>
      </c>
      <c r="E39" s="13">
        <v>6999.0</v>
      </c>
      <c r="F39" s="11"/>
    </row>
    <row r="40" ht="15.75" customHeight="1">
      <c r="A40" s="15" t="s">
        <v>20</v>
      </c>
      <c r="B40" s="16"/>
      <c r="C40" s="17">
        <v>50.0</v>
      </c>
      <c r="D40" s="17">
        <v>99.0</v>
      </c>
      <c r="E40" s="22">
        <v>11990.0</v>
      </c>
      <c r="F40" s="18"/>
    </row>
    <row r="41" ht="15.75" customHeight="1">
      <c r="A41" s="19" t="s">
        <v>20</v>
      </c>
      <c r="B41" s="16"/>
      <c r="C41" s="17">
        <v>100.0</v>
      </c>
      <c r="D41" s="17">
        <v>199.0</v>
      </c>
      <c r="E41" s="23">
        <v>11990.0</v>
      </c>
      <c r="F41" s="18"/>
    </row>
    <row r="42" ht="15.75" customHeight="1">
      <c r="A42" s="19" t="s">
        <v>20</v>
      </c>
      <c r="B42" s="16"/>
      <c r="C42" s="17">
        <v>200.0</v>
      </c>
      <c r="D42" s="14">
        <v>499.0</v>
      </c>
      <c r="E42" s="10">
        <v>10900.0</v>
      </c>
      <c r="F42" s="18"/>
    </row>
    <row r="43" ht="15.75" customHeight="1">
      <c r="A43" s="19" t="s">
        <v>20</v>
      </c>
      <c r="B43" s="16"/>
      <c r="C43" s="17">
        <v>500.0</v>
      </c>
      <c r="D43" s="17">
        <v>999.0</v>
      </c>
      <c r="E43" s="13">
        <v>10900.0</v>
      </c>
      <c r="F43" s="18"/>
    </row>
    <row r="44" ht="15.75" customHeight="1">
      <c r="A44" s="7" t="s">
        <v>21</v>
      </c>
      <c r="B44" s="8"/>
      <c r="C44" s="9">
        <v>50.0</v>
      </c>
      <c r="D44" s="9">
        <v>99.0</v>
      </c>
      <c r="E44" s="22">
        <v>18900.0</v>
      </c>
      <c r="F44" s="11"/>
    </row>
    <row r="45" ht="15.75" customHeight="1">
      <c r="A45" s="12" t="s">
        <v>21</v>
      </c>
      <c r="B45" s="8"/>
      <c r="C45" s="9">
        <v>100.0</v>
      </c>
      <c r="D45" s="9">
        <v>199.0</v>
      </c>
      <c r="E45" s="23">
        <v>18900.0</v>
      </c>
      <c r="F45" s="11"/>
    </row>
    <row r="46" ht="15.75" customHeight="1">
      <c r="A46" s="12" t="s">
        <v>21</v>
      </c>
      <c r="B46" s="8"/>
      <c r="C46" s="9">
        <v>200.0</v>
      </c>
      <c r="D46" s="14">
        <v>499.0</v>
      </c>
      <c r="E46" s="10">
        <v>17900.0</v>
      </c>
      <c r="F46" s="11"/>
    </row>
    <row r="47" ht="15.75" customHeight="1">
      <c r="A47" s="12" t="s">
        <v>21</v>
      </c>
      <c r="B47" s="8"/>
      <c r="C47" s="9">
        <v>500.0</v>
      </c>
      <c r="D47" s="9">
        <v>999.0</v>
      </c>
      <c r="E47" s="13">
        <v>17900.0</v>
      </c>
      <c r="F47" s="11"/>
    </row>
    <row r="48" ht="15.75" customHeight="1">
      <c r="A48" s="15" t="s">
        <v>22</v>
      </c>
      <c r="B48" s="16"/>
      <c r="C48" s="17">
        <v>50.0</v>
      </c>
      <c r="D48" s="17">
        <v>99.0</v>
      </c>
      <c r="E48" s="10">
        <v>12900.0</v>
      </c>
      <c r="F48" s="18"/>
    </row>
    <row r="49" ht="15.75" customHeight="1">
      <c r="A49" s="19" t="s">
        <v>22</v>
      </c>
      <c r="B49" s="16"/>
      <c r="C49" s="17">
        <v>100.0</v>
      </c>
      <c r="D49" s="17">
        <v>199.0</v>
      </c>
      <c r="E49" s="13">
        <v>12900.0</v>
      </c>
      <c r="F49" s="18"/>
    </row>
    <row r="50" ht="15.75" customHeight="1">
      <c r="A50" s="19" t="s">
        <v>22</v>
      </c>
      <c r="B50" s="16"/>
      <c r="C50" s="17">
        <v>200.0</v>
      </c>
      <c r="D50" s="14">
        <v>499.0</v>
      </c>
      <c r="E50" s="10">
        <v>11900.0</v>
      </c>
      <c r="F50" s="18"/>
    </row>
    <row r="51" ht="15.75" customHeight="1">
      <c r="A51" s="19" t="s">
        <v>22</v>
      </c>
      <c r="B51" s="16"/>
      <c r="C51" s="17">
        <v>500.0</v>
      </c>
      <c r="D51" s="17">
        <v>999.0</v>
      </c>
      <c r="E51" s="23">
        <v>10900.0</v>
      </c>
      <c r="F51" s="18"/>
    </row>
    <row r="52" ht="15.75" customHeight="1">
      <c r="A52" s="7" t="s">
        <v>23</v>
      </c>
      <c r="B52" s="8"/>
      <c r="C52" s="9">
        <v>50.0</v>
      </c>
      <c r="D52" s="9">
        <v>99.0</v>
      </c>
      <c r="E52" s="22">
        <v>12900.0</v>
      </c>
      <c r="F52" s="11"/>
    </row>
    <row r="53" ht="15.75" customHeight="1">
      <c r="A53" s="12" t="s">
        <v>23</v>
      </c>
      <c r="B53" s="8"/>
      <c r="C53" s="9">
        <v>100.0</v>
      </c>
      <c r="D53" s="9">
        <v>199.0</v>
      </c>
      <c r="E53" s="13">
        <v>11900.0</v>
      </c>
      <c r="F53" s="11"/>
    </row>
    <row r="54" ht="15.75" customHeight="1">
      <c r="A54" s="12" t="s">
        <v>23</v>
      </c>
      <c r="B54" s="8"/>
      <c r="C54" s="9">
        <v>200.0</v>
      </c>
      <c r="D54" s="14">
        <v>499.0</v>
      </c>
      <c r="E54" s="10">
        <v>11900.0</v>
      </c>
      <c r="F54" s="11"/>
    </row>
    <row r="55" ht="15.75" customHeight="1">
      <c r="A55" s="12" t="s">
        <v>23</v>
      </c>
      <c r="B55" s="8"/>
      <c r="C55" s="9">
        <v>500.0</v>
      </c>
      <c r="D55" s="9">
        <v>999.0</v>
      </c>
      <c r="E55" s="13">
        <v>10900.0</v>
      </c>
      <c r="F55" s="11"/>
    </row>
    <row r="56" ht="15.75" customHeight="1">
      <c r="A56" s="15" t="s">
        <v>24</v>
      </c>
      <c r="B56" s="16"/>
      <c r="C56" s="17">
        <v>50.0</v>
      </c>
      <c r="D56" s="17">
        <v>99.0</v>
      </c>
      <c r="E56" s="22">
        <v>13900.0</v>
      </c>
      <c r="F56" s="18"/>
    </row>
    <row r="57" ht="15.75" customHeight="1">
      <c r="A57" s="19" t="s">
        <v>24</v>
      </c>
      <c r="B57" s="16"/>
      <c r="C57" s="17">
        <v>100.0</v>
      </c>
      <c r="D57" s="17">
        <v>199.0</v>
      </c>
      <c r="E57" s="23">
        <v>13900.0</v>
      </c>
      <c r="F57" s="18"/>
    </row>
    <row r="58" ht="15.75" customHeight="1">
      <c r="A58" s="19" t="s">
        <v>24</v>
      </c>
      <c r="B58" s="16"/>
      <c r="C58" s="17">
        <v>200.0</v>
      </c>
      <c r="D58" s="14">
        <v>499.0</v>
      </c>
      <c r="E58" s="10">
        <v>12990.0</v>
      </c>
      <c r="F58" s="18"/>
    </row>
    <row r="59" ht="15.75" customHeight="1">
      <c r="A59" s="19" t="s">
        <v>24</v>
      </c>
      <c r="B59" s="16"/>
      <c r="C59" s="17">
        <v>500.0</v>
      </c>
      <c r="D59" s="17">
        <v>999.0</v>
      </c>
      <c r="E59" s="13">
        <v>12990.0</v>
      </c>
      <c r="F59" s="18"/>
    </row>
    <row r="60" ht="15.75" customHeight="1">
      <c r="A60" s="7" t="s">
        <v>25</v>
      </c>
      <c r="B60" s="8"/>
      <c r="C60" s="9">
        <v>50.0</v>
      </c>
      <c r="D60" s="9">
        <v>99.0</v>
      </c>
      <c r="E60" s="22">
        <v>10900.0</v>
      </c>
      <c r="F60" s="11"/>
    </row>
    <row r="61" ht="15.75" customHeight="1">
      <c r="A61" s="12" t="s">
        <v>25</v>
      </c>
      <c r="B61" s="8"/>
      <c r="C61" s="9">
        <v>100.0</v>
      </c>
      <c r="D61" s="9">
        <v>199.0</v>
      </c>
      <c r="E61" s="13">
        <v>9900.0</v>
      </c>
      <c r="F61" s="11"/>
    </row>
    <row r="62" ht="15.75" customHeight="1">
      <c r="A62" s="12" t="s">
        <v>25</v>
      </c>
      <c r="B62" s="8"/>
      <c r="C62" s="9">
        <v>200.0</v>
      </c>
      <c r="D62" s="14">
        <v>499.0</v>
      </c>
      <c r="E62" s="10">
        <v>9900.0</v>
      </c>
      <c r="F62" s="11"/>
    </row>
    <row r="63" ht="15.75" customHeight="1">
      <c r="A63" s="12" t="s">
        <v>25</v>
      </c>
      <c r="B63" s="8"/>
      <c r="C63" s="9">
        <v>500.0</v>
      </c>
      <c r="D63" s="9">
        <v>999.0</v>
      </c>
      <c r="E63" s="13">
        <v>9900.0</v>
      </c>
      <c r="F63" s="11"/>
    </row>
    <row r="64" ht="15.75" customHeight="1">
      <c r="A64" s="15" t="s">
        <v>26</v>
      </c>
      <c r="B64" s="16"/>
      <c r="C64" s="17">
        <v>50.0</v>
      </c>
      <c r="D64" s="17">
        <v>99.0</v>
      </c>
      <c r="E64" s="22">
        <v>10900.0</v>
      </c>
      <c r="F64" s="18"/>
    </row>
    <row r="65" ht="15.75" customHeight="1">
      <c r="A65" s="19" t="s">
        <v>26</v>
      </c>
      <c r="B65" s="16"/>
      <c r="C65" s="17">
        <v>100.0</v>
      </c>
      <c r="D65" s="17">
        <v>199.0</v>
      </c>
      <c r="E65" s="13">
        <v>9900.0</v>
      </c>
      <c r="F65" s="18"/>
    </row>
    <row r="66" ht="15.75" customHeight="1">
      <c r="A66" s="19" t="s">
        <v>26</v>
      </c>
      <c r="B66" s="16"/>
      <c r="C66" s="17">
        <v>200.0</v>
      </c>
      <c r="D66" s="14">
        <v>499.0</v>
      </c>
      <c r="E66" s="10">
        <v>9900.0</v>
      </c>
      <c r="F66" s="18"/>
    </row>
    <row r="67" ht="15.75" customHeight="1">
      <c r="A67" s="19" t="s">
        <v>26</v>
      </c>
      <c r="B67" s="16"/>
      <c r="C67" s="17">
        <v>500.0</v>
      </c>
      <c r="D67" s="17">
        <v>999.0</v>
      </c>
      <c r="E67" s="13">
        <v>9900.0</v>
      </c>
      <c r="F67" s="18"/>
    </row>
    <row r="68" ht="15.75" customHeight="1">
      <c r="A68" s="7" t="s">
        <v>27</v>
      </c>
      <c r="B68" s="8"/>
      <c r="C68" s="9">
        <v>50.0</v>
      </c>
      <c r="D68" s="9">
        <v>99.0</v>
      </c>
      <c r="E68" s="10">
        <v>27990.0</v>
      </c>
      <c r="F68" s="11"/>
    </row>
    <row r="69" ht="15.75" customHeight="1">
      <c r="A69" s="12" t="s">
        <v>27</v>
      </c>
      <c r="B69" s="8"/>
      <c r="C69" s="9">
        <v>100.0</v>
      </c>
      <c r="D69" s="9">
        <v>199.0</v>
      </c>
      <c r="E69" s="23">
        <v>25999.0</v>
      </c>
      <c r="F69" s="11"/>
    </row>
    <row r="70" ht="15.75" customHeight="1">
      <c r="A70" s="12" t="s">
        <v>27</v>
      </c>
      <c r="B70" s="8"/>
      <c r="C70" s="9">
        <v>200.0</v>
      </c>
      <c r="D70" s="14">
        <v>499.0</v>
      </c>
      <c r="E70" s="22">
        <v>25999.0</v>
      </c>
      <c r="F70" s="11"/>
    </row>
    <row r="71" ht="15.75" customHeight="1">
      <c r="A71" s="12" t="s">
        <v>27</v>
      </c>
      <c r="B71" s="8"/>
      <c r="C71" s="9">
        <v>500.0</v>
      </c>
      <c r="D71" s="9">
        <v>999.0</v>
      </c>
      <c r="E71" s="13">
        <v>24990.0</v>
      </c>
      <c r="F71" s="11"/>
    </row>
    <row r="72" ht="15.75" customHeight="1">
      <c r="A72" s="15" t="s">
        <v>28</v>
      </c>
      <c r="B72" s="16"/>
      <c r="C72" s="17">
        <v>50.0</v>
      </c>
      <c r="D72" s="17">
        <v>99.0</v>
      </c>
      <c r="E72" s="10">
        <v>264900.0</v>
      </c>
      <c r="F72" s="18"/>
    </row>
    <row r="73" ht="15.75" customHeight="1">
      <c r="A73" s="19" t="s">
        <v>28</v>
      </c>
      <c r="B73" s="16"/>
      <c r="C73" s="17">
        <v>100.0</v>
      </c>
      <c r="D73" s="17">
        <v>199.0</v>
      </c>
      <c r="E73" s="10">
        <v>247900.0</v>
      </c>
      <c r="F73" s="18"/>
    </row>
    <row r="74" ht="15.75" customHeight="1">
      <c r="A74" s="19" t="s">
        <v>28</v>
      </c>
      <c r="B74" s="16"/>
      <c r="C74" s="17">
        <v>200.0</v>
      </c>
      <c r="D74" s="24">
        <v>499.0</v>
      </c>
      <c r="E74" s="10">
        <v>247900.0</v>
      </c>
      <c r="F74" s="18"/>
    </row>
    <row r="75" ht="15.75" customHeight="1">
      <c r="A75" s="19" t="s">
        <v>28</v>
      </c>
      <c r="B75" s="16"/>
      <c r="C75" s="17">
        <v>500.0</v>
      </c>
      <c r="D75" s="17">
        <v>999.0</v>
      </c>
      <c r="E75" s="10">
        <v>245990.0</v>
      </c>
      <c r="F75" s="18"/>
    </row>
    <row r="76" ht="15.75" customHeight="1">
      <c r="A76" s="7" t="s">
        <v>29</v>
      </c>
      <c r="B76" s="8"/>
      <c r="C76" s="9">
        <v>50.0</v>
      </c>
      <c r="D76" s="9">
        <v>99.0</v>
      </c>
      <c r="E76" s="22">
        <v>11900.0</v>
      </c>
      <c r="F76" s="11"/>
    </row>
    <row r="77" ht="15.75" customHeight="1">
      <c r="A77" s="12" t="s">
        <v>29</v>
      </c>
      <c r="B77" s="8"/>
      <c r="C77" s="9">
        <v>100.0</v>
      </c>
      <c r="D77" s="9">
        <v>199.0</v>
      </c>
      <c r="E77" s="23">
        <v>11900.0</v>
      </c>
      <c r="F77" s="11"/>
    </row>
    <row r="78" ht="15.75" customHeight="1">
      <c r="A78" s="12" t="s">
        <v>29</v>
      </c>
      <c r="B78" s="8"/>
      <c r="C78" s="9">
        <v>200.0</v>
      </c>
      <c r="D78" s="14">
        <v>499.0</v>
      </c>
      <c r="E78" s="10">
        <v>10900.0</v>
      </c>
      <c r="F78" s="11"/>
    </row>
    <row r="79" ht="15.75" customHeight="1">
      <c r="A79" s="12" t="s">
        <v>29</v>
      </c>
      <c r="B79" s="8"/>
      <c r="C79" s="9">
        <v>500.0</v>
      </c>
      <c r="D79" s="9">
        <v>999.0</v>
      </c>
      <c r="E79" s="13">
        <v>10900.0</v>
      </c>
      <c r="F79" s="11"/>
    </row>
    <row r="80" ht="15.75" customHeight="1">
      <c r="A80" s="15" t="s">
        <v>30</v>
      </c>
      <c r="B80" s="16"/>
      <c r="C80" s="17">
        <v>50.0</v>
      </c>
      <c r="D80" s="17">
        <v>99.0</v>
      </c>
      <c r="E80" s="10">
        <v>13900.0</v>
      </c>
      <c r="F80" s="18"/>
    </row>
    <row r="81" ht="15.75" customHeight="1">
      <c r="A81" s="19" t="s">
        <v>30</v>
      </c>
      <c r="B81" s="16"/>
      <c r="C81" s="17">
        <v>100.0</v>
      </c>
      <c r="D81" s="17">
        <v>199.0</v>
      </c>
      <c r="E81" s="23">
        <v>12900.0</v>
      </c>
      <c r="F81" s="18"/>
    </row>
    <row r="82" ht="15.75" customHeight="1">
      <c r="A82" s="19" t="s">
        <v>30</v>
      </c>
      <c r="B82" s="16"/>
      <c r="C82" s="17">
        <v>200.0</v>
      </c>
      <c r="D82" s="24">
        <v>499.0</v>
      </c>
      <c r="E82" s="22">
        <v>12900.0</v>
      </c>
      <c r="F82" s="18"/>
    </row>
    <row r="83" ht="15.75" customHeight="1">
      <c r="A83" s="19" t="s">
        <v>30</v>
      </c>
      <c r="B83" s="16"/>
      <c r="C83" s="17">
        <v>500.0</v>
      </c>
      <c r="D83" s="17">
        <v>999.0</v>
      </c>
      <c r="E83" s="13">
        <v>11900.0</v>
      </c>
      <c r="F83" s="18"/>
    </row>
    <row r="84" ht="15.75" customHeight="1">
      <c r="A84" s="21" t="s">
        <v>31</v>
      </c>
      <c r="B84" s="8"/>
      <c r="C84" s="9">
        <v>50.0</v>
      </c>
      <c r="D84" s="9">
        <v>99.0</v>
      </c>
      <c r="E84" s="22">
        <v>17900.0</v>
      </c>
      <c r="F84" s="11"/>
    </row>
    <row r="85" ht="15.75" customHeight="1">
      <c r="A85" s="21" t="s">
        <v>31</v>
      </c>
      <c r="B85" s="8"/>
      <c r="C85" s="9">
        <v>100.0</v>
      </c>
      <c r="D85" s="9">
        <v>199.0</v>
      </c>
      <c r="E85" s="13">
        <v>16990.0</v>
      </c>
      <c r="F85" s="11"/>
    </row>
    <row r="86" ht="15.75" customHeight="1">
      <c r="A86" s="21" t="s">
        <v>31</v>
      </c>
      <c r="B86" s="8"/>
      <c r="C86" s="9">
        <v>200.0</v>
      </c>
      <c r="D86" s="14">
        <v>499.0</v>
      </c>
      <c r="E86" s="10">
        <v>15990.0</v>
      </c>
      <c r="F86" s="11"/>
    </row>
    <row r="87" ht="15.75" customHeight="1">
      <c r="A87" s="21" t="s">
        <v>31</v>
      </c>
      <c r="B87" s="8"/>
      <c r="C87" s="9">
        <v>500.0</v>
      </c>
      <c r="D87" s="9">
        <v>999.0</v>
      </c>
      <c r="E87" s="13">
        <v>15990.0</v>
      </c>
      <c r="F87" s="11"/>
    </row>
    <row r="88" ht="15.75" customHeight="1">
      <c r="A88" s="15" t="s">
        <v>32</v>
      </c>
      <c r="B88" s="16"/>
      <c r="C88" s="17">
        <v>50.0</v>
      </c>
      <c r="D88" s="17">
        <v>99.0</v>
      </c>
      <c r="E88" s="22">
        <v>14900.0</v>
      </c>
      <c r="F88" s="18"/>
    </row>
    <row r="89" ht="15.75" customHeight="1">
      <c r="A89" s="19" t="s">
        <v>32</v>
      </c>
      <c r="B89" s="16"/>
      <c r="C89" s="17">
        <v>100.0</v>
      </c>
      <c r="D89" s="17">
        <v>199.0</v>
      </c>
      <c r="E89" s="23">
        <v>14900.0</v>
      </c>
      <c r="F89" s="18"/>
    </row>
    <row r="90" ht="15.75" customHeight="1">
      <c r="A90" s="19" t="s">
        <v>32</v>
      </c>
      <c r="B90" s="16"/>
      <c r="C90" s="17">
        <v>200.0</v>
      </c>
      <c r="D90" s="24">
        <v>499.0</v>
      </c>
      <c r="E90" s="22">
        <v>14900.0</v>
      </c>
      <c r="F90" s="18"/>
    </row>
    <row r="91" ht="15.75" customHeight="1">
      <c r="A91" s="19" t="s">
        <v>32</v>
      </c>
      <c r="B91" s="16"/>
      <c r="C91" s="17">
        <v>500.0</v>
      </c>
      <c r="D91" s="17">
        <v>999.0</v>
      </c>
      <c r="E91" s="23">
        <v>14900.0</v>
      </c>
      <c r="F91" s="18"/>
    </row>
    <row r="92" ht="15.75" customHeight="1">
      <c r="A92" s="7" t="s">
        <v>33</v>
      </c>
      <c r="B92" s="8"/>
      <c r="C92" s="9">
        <v>50.0</v>
      </c>
      <c r="D92" s="9">
        <v>99.0</v>
      </c>
      <c r="E92" s="22">
        <v>11900.0</v>
      </c>
      <c r="F92" s="11"/>
    </row>
    <row r="93" ht="15.75" customHeight="1">
      <c r="A93" s="12" t="s">
        <v>33</v>
      </c>
      <c r="B93" s="8"/>
      <c r="C93" s="9">
        <v>100.0</v>
      </c>
      <c r="D93" s="9">
        <v>199.0</v>
      </c>
      <c r="E93" s="23">
        <v>11900.0</v>
      </c>
      <c r="F93" s="11"/>
    </row>
    <row r="94" ht="15.75" customHeight="1">
      <c r="A94" s="12" t="s">
        <v>33</v>
      </c>
      <c r="B94" s="8"/>
      <c r="C94" s="9">
        <v>200.0</v>
      </c>
      <c r="D94" s="14">
        <v>499.0</v>
      </c>
      <c r="E94" s="10">
        <v>10990.0</v>
      </c>
      <c r="F94" s="11"/>
    </row>
    <row r="95" ht="15.75" customHeight="1">
      <c r="A95" s="12" t="s">
        <v>33</v>
      </c>
      <c r="B95" s="8"/>
      <c r="C95" s="9">
        <v>500.0</v>
      </c>
      <c r="D95" s="9">
        <v>999.0</v>
      </c>
      <c r="E95" s="13">
        <v>10990.0</v>
      </c>
      <c r="F95" s="11"/>
    </row>
    <row r="96" ht="15.75" customHeight="1">
      <c r="A96" s="15" t="s">
        <v>34</v>
      </c>
      <c r="B96" s="16"/>
      <c r="C96" s="17">
        <v>50.0</v>
      </c>
      <c r="D96" s="17">
        <v>99.0</v>
      </c>
      <c r="E96" s="22">
        <v>11900.0</v>
      </c>
      <c r="F96" s="18"/>
    </row>
    <row r="97" ht="15.75" customHeight="1">
      <c r="A97" s="19" t="s">
        <v>34</v>
      </c>
      <c r="B97" s="16"/>
      <c r="C97" s="17">
        <v>100.0</v>
      </c>
      <c r="D97" s="17">
        <v>199.0</v>
      </c>
      <c r="E97" s="23">
        <v>11900.0</v>
      </c>
      <c r="F97" s="18"/>
    </row>
    <row r="98" ht="15.75" customHeight="1">
      <c r="A98" s="19" t="s">
        <v>34</v>
      </c>
      <c r="B98" s="16"/>
      <c r="C98" s="17">
        <v>200.0</v>
      </c>
      <c r="D98" s="24">
        <v>499.0</v>
      </c>
      <c r="E98" s="10">
        <v>10990.0</v>
      </c>
      <c r="F98" s="18"/>
    </row>
    <row r="99" ht="15.75" customHeight="1">
      <c r="A99" s="19" t="s">
        <v>34</v>
      </c>
      <c r="B99" s="16"/>
      <c r="C99" s="17">
        <v>500.0</v>
      </c>
      <c r="D99" s="17">
        <v>999.0</v>
      </c>
      <c r="E99" s="13">
        <v>10990.0</v>
      </c>
      <c r="F99" s="18"/>
    </row>
    <row r="100" ht="15.75" customHeight="1">
      <c r="A100" s="7" t="s">
        <v>35</v>
      </c>
      <c r="B100" s="8"/>
      <c r="C100" s="9">
        <v>50.0</v>
      </c>
      <c r="D100" s="9">
        <v>99.0</v>
      </c>
      <c r="E100" s="22">
        <v>10900.0</v>
      </c>
      <c r="F100" s="11"/>
    </row>
    <row r="101" ht="15.75" customHeight="1">
      <c r="A101" s="12" t="s">
        <v>35</v>
      </c>
      <c r="B101" s="8"/>
      <c r="C101" s="9">
        <v>100.0</v>
      </c>
      <c r="D101" s="9">
        <v>199.0</v>
      </c>
      <c r="E101" s="23">
        <v>10900.0</v>
      </c>
      <c r="F101" s="11"/>
    </row>
    <row r="102" ht="15.75" customHeight="1">
      <c r="A102" s="12" t="s">
        <v>35</v>
      </c>
      <c r="B102" s="8"/>
      <c r="C102" s="9">
        <v>200.0</v>
      </c>
      <c r="D102" s="14">
        <v>499.0</v>
      </c>
      <c r="E102" s="10">
        <v>9999.0</v>
      </c>
      <c r="F102" s="11"/>
    </row>
    <row r="103" ht="15.75" customHeight="1">
      <c r="A103" s="12" t="s">
        <v>35</v>
      </c>
      <c r="B103" s="8"/>
      <c r="C103" s="9">
        <v>500.0</v>
      </c>
      <c r="D103" s="9">
        <v>999.0</v>
      </c>
      <c r="E103" s="13">
        <v>9999.0</v>
      </c>
      <c r="F103" s="11"/>
    </row>
    <row r="104" ht="15.75" customHeight="1">
      <c r="A104" s="15" t="s">
        <v>36</v>
      </c>
      <c r="B104" s="16"/>
      <c r="C104" s="17">
        <v>50.0</v>
      </c>
      <c r="D104" s="17">
        <v>99.0</v>
      </c>
      <c r="E104" s="10">
        <v>18900.0</v>
      </c>
      <c r="F104" s="18"/>
    </row>
    <row r="105" ht="15.75" customHeight="1">
      <c r="A105" s="19" t="s">
        <v>36</v>
      </c>
      <c r="B105" s="16"/>
      <c r="C105" s="17">
        <v>100.0</v>
      </c>
      <c r="D105" s="17">
        <v>199.0</v>
      </c>
      <c r="E105" s="13">
        <v>17900.0</v>
      </c>
      <c r="F105" s="18"/>
    </row>
    <row r="106" ht="15.75" customHeight="1">
      <c r="A106" s="19" t="s">
        <v>36</v>
      </c>
      <c r="B106" s="16"/>
      <c r="C106" s="17">
        <v>200.0</v>
      </c>
      <c r="D106" s="24">
        <v>499.0</v>
      </c>
      <c r="E106" s="10">
        <v>16900.0</v>
      </c>
      <c r="F106" s="18"/>
    </row>
    <row r="107" ht="15.75" customHeight="1">
      <c r="A107" s="19" t="s">
        <v>36</v>
      </c>
      <c r="B107" s="16"/>
      <c r="C107" s="17">
        <v>500.0</v>
      </c>
      <c r="D107" s="17">
        <v>999.0</v>
      </c>
      <c r="E107" s="23">
        <v>15900.0</v>
      </c>
      <c r="F107" s="18"/>
    </row>
    <row r="112" ht="15.75" customHeight="1">
      <c r="A112" s="20" t="s">
        <v>37</v>
      </c>
      <c r="B112" s="16"/>
      <c r="C112" s="17">
        <v>50.0</v>
      </c>
      <c r="D112" s="17">
        <v>99.0</v>
      </c>
      <c r="E112" s="10">
        <v>13900.0</v>
      </c>
      <c r="F112" s="18"/>
    </row>
    <row r="113" ht="15.75" customHeight="1">
      <c r="A113" s="20" t="s">
        <v>37</v>
      </c>
      <c r="B113" s="16"/>
      <c r="C113" s="17">
        <v>100.0</v>
      </c>
      <c r="D113" s="17">
        <v>199.0</v>
      </c>
      <c r="E113" s="13">
        <v>12900.0</v>
      </c>
      <c r="F113" s="18"/>
    </row>
    <row r="114" ht="15.75" customHeight="1">
      <c r="A114" s="20" t="s">
        <v>37</v>
      </c>
      <c r="B114" s="16"/>
      <c r="C114" s="17">
        <v>200.0</v>
      </c>
      <c r="D114" s="24">
        <v>499.0</v>
      </c>
      <c r="E114" s="10">
        <v>11900.0</v>
      </c>
      <c r="F114" s="18"/>
    </row>
    <row r="115" ht="15.75" customHeight="1">
      <c r="A115" s="20" t="s">
        <v>37</v>
      </c>
      <c r="B115" s="16"/>
      <c r="C115" s="17">
        <v>500.0</v>
      </c>
      <c r="D115" s="17">
        <v>999.0</v>
      </c>
      <c r="E115" s="23">
        <v>10900.0</v>
      </c>
      <c r="F115" s="18"/>
    </row>
    <row r="116" ht="15.75" customHeight="1">
      <c r="A116" s="7" t="s">
        <v>38</v>
      </c>
      <c r="B116" s="8"/>
      <c r="C116" s="9">
        <v>50.0</v>
      </c>
      <c r="D116" s="9">
        <v>99.0</v>
      </c>
      <c r="E116" s="10">
        <v>12990.0</v>
      </c>
      <c r="F116" s="11"/>
    </row>
    <row r="117" ht="15.75" customHeight="1">
      <c r="A117" s="12" t="s">
        <v>38</v>
      </c>
      <c r="B117" s="8"/>
      <c r="C117" s="9">
        <v>100.0</v>
      </c>
      <c r="D117" s="9">
        <v>199.0</v>
      </c>
      <c r="E117" s="13">
        <v>11990.0</v>
      </c>
      <c r="F117" s="11"/>
    </row>
    <row r="118" ht="15.75" customHeight="1">
      <c r="A118" s="12" t="s">
        <v>38</v>
      </c>
      <c r="B118" s="8"/>
      <c r="C118" s="9">
        <v>200.0</v>
      </c>
      <c r="D118" s="14">
        <v>499.0</v>
      </c>
      <c r="E118" s="22">
        <v>10990.0</v>
      </c>
      <c r="F118" s="11"/>
    </row>
    <row r="119" ht="15.75" customHeight="1">
      <c r="A119" s="12" t="s">
        <v>38</v>
      </c>
      <c r="B119" s="8"/>
      <c r="C119" s="9">
        <v>500.0</v>
      </c>
      <c r="D119" s="9">
        <v>999.0</v>
      </c>
      <c r="E119" s="13">
        <v>9999.0</v>
      </c>
      <c r="F119" s="11"/>
    </row>
    <row r="120" ht="15.75" customHeight="1">
      <c r="A120" s="15" t="s">
        <v>39</v>
      </c>
      <c r="B120" s="16"/>
      <c r="C120" s="17">
        <v>50.0</v>
      </c>
      <c r="D120" s="17">
        <v>99.0</v>
      </c>
      <c r="E120" s="10">
        <v>8999.0</v>
      </c>
      <c r="F120" s="18"/>
    </row>
    <row r="121" ht="15.75" customHeight="1">
      <c r="A121" s="19" t="s">
        <v>39</v>
      </c>
      <c r="B121" s="16"/>
      <c r="C121" s="17">
        <v>100.0</v>
      </c>
      <c r="D121" s="17">
        <v>199.0</v>
      </c>
      <c r="E121" s="13">
        <v>7999.0</v>
      </c>
      <c r="F121" s="18"/>
    </row>
    <row r="122" ht="15.75" customHeight="1">
      <c r="A122" s="19" t="s">
        <v>39</v>
      </c>
      <c r="B122" s="16"/>
      <c r="C122" s="17">
        <v>200.0</v>
      </c>
      <c r="D122" s="17">
        <v>299.0</v>
      </c>
      <c r="E122" s="10">
        <v>7999.0</v>
      </c>
      <c r="F122" s="18"/>
    </row>
    <row r="123" ht="15.75" customHeight="1">
      <c r="A123" s="19" t="s">
        <v>39</v>
      </c>
      <c r="B123" s="16"/>
      <c r="C123" s="17">
        <v>500.0</v>
      </c>
      <c r="D123" s="17">
        <v>999.0</v>
      </c>
      <c r="E123" s="13">
        <v>7990.0</v>
      </c>
      <c r="F123" s="18"/>
    </row>
    <row r="124" ht="15.75" customHeight="1">
      <c r="A124" s="7" t="s">
        <v>40</v>
      </c>
      <c r="B124" s="8"/>
      <c r="C124" s="9">
        <v>50.0</v>
      </c>
      <c r="D124" s="9">
        <v>99.0</v>
      </c>
      <c r="E124" s="25"/>
      <c r="F124" s="11"/>
    </row>
    <row r="125" ht="15.75" customHeight="1">
      <c r="A125" s="12" t="s">
        <v>40</v>
      </c>
      <c r="B125" s="8"/>
      <c r="C125" s="9">
        <v>100.0</v>
      </c>
      <c r="D125" s="9">
        <v>199.0</v>
      </c>
      <c r="E125" s="25"/>
      <c r="F125" s="11"/>
    </row>
    <row r="126" ht="15.75" customHeight="1">
      <c r="A126" s="12" t="s">
        <v>40</v>
      </c>
      <c r="B126" s="8"/>
      <c r="C126" s="9">
        <v>200.0</v>
      </c>
      <c r="D126" s="9">
        <v>299.0</v>
      </c>
      <c r="E126" s="25"/>
      <c r="F126" s="11"/>
    </row>
    <row r="127" ht="15.75" customHeight="1">
      <c r="A127" s="12" t="s">
        <v>40</v>
      </c>
      <c r="B127" s="8"/>
      <c r="C127" s="9">
        <v>500.0</v>
      </c>
      <c r="D127" s="9">
        <v>999.0</v>
      </c>
      <c r="E127" s="25"/>
      <c r="F127" s="11"/>
    </row>
    <row r="128" ht="15.75" customHeight="1">
      <c r="A128" s="15" t="s">
        <v>41</v>
      </c>
      <c r="B128" s="16"/>
      <c r="C128" s="17">
        <v>50.0</v>
      </c>
      <c r="D128" s="17">
        <v>99.0</v>
      </c>
      <c r="E128" s="25"/>
      <c r="F128" s="18"/>
    </row>
    <row r="129" ht="15.75" customHeight="1">
      <c r="A129" s="19" t="s">
        <v>41</v>
      </c>
      <c r="B129" s="16"/>
      <c r="C129" s="17">
        <v>100.0</v>
      </c>
      <c r="D129" s="17">
        <v>199.0</v>
      </c>
      <c r="E129" s="25"/>
      <c r="F129" s="18"/>
    </row>
    <row r="130" ht="15.75" customHeight="1">
      <c r="A130" s="19" t="s">
        <v>41</v>
      </c>
      <c r="B130" s="16"/>
      <c r="C130" s="17">
        <v>200.0</v>
      </c>
      <c r="D130" s="17">
        <v>299.0</v>
      </c>
      <c r="E130" s="25"/>
      <c r="F130" s="18"/>
    </row>
    <row r="131" ht="15.75" customHeight="1">
      <c r="A131" s="19" t="s">
        <v>41</v>
      </c>
      <c r="B131" s="16"/>
      <c r="C131" s="17">
        <v>500.0</v>
      </c>
      <c r="D131" s="17">
        <v>999.0</v>
      </c>
      <c r="E131" s="25"/>
      <c r="F131" s="18"/>
    </row>
    <row r="132" ht="15.75" customHeight="1">
      <c r="A132" s="7" t="s">
        <v>42</v>
      </c>
      <c r="B132" s="8"/>
      <c r="C132" s="9">
        <v>50.0</v>
      </c>
      <c r="D132" s="9">
        <v>99.0</v>
      </c>
      <c r="E132" s="10">
        <v>3999.0</v>
      </c>
      <c r="F132" s="11"/>
    </row>
    <row r="133" ht="15.75" customHeight="1">
      <c r="A133" s="12" t="s">
        <v>42</v>
      </c>
      <c r="B133" s="8"/>
      <c r="C133" s="9">
        <v>100.0</v>
      </c>
      <c r="D133" s="9">
        <v>199.0</v>
      </c>
      <c r="E133" s="13">
        <v>3999.0</v>
      </c>
      <c r="F133" s="11"/>
    </row>
    <row r="134" ht="15.75" customHeight="1">
      <c r="A134" s="12" t="s">
        <v>42</v>
      </c>
      <c r="B134" s="8"/>
      <c r="C134" s="9">
        <v>200.0</v>
      </c>
      <c r="D134" s="14">
        <v>499.0</v>
      </c>
      <c r="E134" s="10">
        <v>3999.0</v>
      </c>
      <c r="F134" s="11"/>
    </row>
    <row r="135" ht="15.75" customHeight="1">
      <c r="A135" s="12" t="s">
        <v>42</v>
      </c>
      <c r="B135" s="8"/>
      <c r="C135" s="9">
        <v>500.0</v>
      </c>
      <c r="D135" s="9">
        <v>999.0</v>
      </c>
      <c r="E135" s="13">
        <v>3999.0</v>
      </c>
      <c r="F135" s="11"/>
    </row>
    <row r="136" ht="15.75" customHeight="1">
      <c r="A136" s="15" t="s">
        <v>43</v>
      </c>
      <c r="B136" s="16"/>
      <c r="C136" s="17">
        <v>50.0</v>
      </c>
      <c r="D136" s="17">
        <v>99.0</v>
      </c>
      <c r="E136" s="10">
        <v>12990.0</v>
      </c>
      <c r="F136" s="18"/>
    </row>
    <row r="137" ht="15.75" customHeight="1">
      <c r="A137" s="19" t="s">
        <v>43</v>
      </c>
      <c r="B137" s="16"/>
      <c r="C137" s="17">
        <v>100.0</v>
      </c>
      <c r="D137" s="17">
        <v>199.0</v>
      </c>
      <c r="E137" s="13">
        <v>11990.0</v>
      </c>
      <c r="F137" s="18"/>
    </row>
    <row r="138" ht="15.75" customHeight="1">
      <c r="A138" s="19" t="s">
        <v>43</v>
      </c>
      <c r="B138" s="16"/>
      <c r="C138" s="17">
        <v>200.0</v>
      </c>
      <c r="D138" s="24">
        <v>499.0</v>
      </c>
      <c r="E138" s="22">
        <v>10990.0</v>
      </c>
      <c r="F138" s="18"/>
    </row>
    <row r="139" ht="15.75" customHeight="1">
      <c r="A139" s="19" t="s">
        <v>43</v>
      </c>
      <c r="B139" s="16"/>
      <c r="C139" s="17">
        <v>500.0</v>
      </c>
      <c r="D139" s="17">
        <v>999.0</v>
      </c>
      <c r="E139" s="13">
        <v>9999.0</v>
      </c>
      <c r="F139" s="18"/>
    </row>
    <row r="140" ht="15.75" customHeight="1">
      <c r="A140" s="26" t="s">
        <v>44</v>
      </c>
      <c r="B140" s="16"/>
      <c r="C140" s="17">
        <v>50.0</v>
      </c>
      <c r="D140" s="17">
        <v>99.0</v>
      </c>
      <c r="E140" s="10">
        <v>3999.0</v>
      </c>
      <c r="F140" s="18"/>
    </row>
    <row r="141" ht="15.75" customHeight="1">
      <c r="A141" s="19"/>
      <c r="B141" s="16"/>
      <c r="C141" s="17">
        <v>100.0</v>
      </c>
      <c r="D141" s="17">
        <v>199.0</v>
      </c>
      <c r="E141" s="10">
        <v>3999.0</v>
      </c>
      <c r="F141" s="18"/>
    </row>
    <row r="142" ht="15.75" customHeight="1">
      <c r="A142" s="19"/>
      <c r="B142" s="16"/>
      <c r="C142" s="17">
        <v>200.0</v>
      </c>
      <c r="D142" s="24">
        <v>499.0</v>
      </c>
      <c r="E142" s="10">
        <v>3999.0</v>
      </c>
      <c r="F142" s="18"/>
    </row>
    <row r="143" ht="15.75" customHeight="1">
      <c r="A143" s="19"/>
      <c r="B143" s="16"/>
      <c r="C143" s="17">
        <v>500.0</v>
      </c>
      <c r="D143" s="17">
        <v>999.0</v>
      </c>
      <c r="E143" s="10">
        <v>3999.0</v>
      </c>
      <c r="F143" s="18"/>
    </row>
    <row r="144" ht="15.75" customHeight="1">
      <c r="A144" s="26" t="s">
        <v>45</v>
      </c>
      <c r="B144" s="16"/>
      <c r="C144" s="17"/>
      <c r="D144" s="17"/>
      <c r="E144" s="10"/>
      <c r="F144" s="18"/>
    </row>
    <row r="145" ht="15.75" customHeight="1">
      <c r="A145" s="19"/>
      <c r="B145" s="16"/>
      <c r="C145" s="17"/>
      <c r="D145" s="17"/>
      <c r="E145" s="13"/>
      <c r="F145" s="18"/>
    </row>
    <row r="146" ht="15.75" customHeight="1">
      <c r="A146" s="19"/>
      <c r="B146" s="16"/>
      <c r="C146" s="17">
        <v>200.0</v>
      </c>
      <c r="D146" s="24">
        <v>499.0</v>
      </c>
      <c r="E146" s="10">
        <v>6590.0</v>
      </c>
      <c r="F146" s="18"/>
    </row>
    <row r="147" ht="15.75" customHeight="1">
      <c r="A147" s="19"/>
      <c r="B147" s="16"/>
      <c r="C147" s="17">
        <v>500.0</v>
      </c>
      <c r="D147" s="17">
        <v>999.0</v>
      </c>
      <c r="E147" s="13">
        <v>5590.0</v>
      </c>
      <c r="F147" s="18"/>
    </row>
    <row r="148" ht="15.75" customHeight="1">
      <c r="A148" s="26" t="s">
        <v>46</v>
      </c>
      <c r="B148" s="16"/>
      <c r="C148" s="17">
        <v>50.0</v>
      </c>
      <c r="D148" s="17">
        <v>99.0</v>
      </c>
      <c r="E148" s="10"/>
      <c r="F148" s="18"/>
    </row>
    <row r="149" ht="15.75" customHeight="1">
      <c r="A149" s="19"/>
      <c r="B149" s="16"/>
      <c r="C149" s="17">
        <v>100.0</v>
      </c>
      <c r="D149" s="17">
        <v>199.0</v>
      </c>
      <c r="E149" s="13"/>
      <c r="F149" s="18"/>
    </row>
    <row r="150" ht="15.75" customHeight="1">
      <c r="A150" s="19"/>
      <c r="B150" s="16"/>
      <c r="C150" s="17">
        <v>200.0</v>
      </c>
      <c r="D150" s="24">
        <v>499.0</v>
      </c>
      <c r="E150" s="22"/>
      <c r="F150" s="18"/>
    </row>
    <row r="151" ht="15.75" customHeight="1">
      <c r="A151" s="19"/>
      <c r="B151" s="16"/>
      <c r="C151" s="17">
        <v>500.0</v>
      </c>
      <c r="D151" s="17">
        <v>999.0</v>
      </c>
      <c r="E151" s="13"/>
      <c r="F151" s="18"/>
    </row>
    <row r="152" ht="15.75" customHeight="1">
      <c r="A152" s="26" t="s">
        <v>47</v>
      </c>
      <c r="B152" s="16"/>
      <c r="C152" s="17">
        <v>50.0</v>
      </c>
      <c r="D152" s="17">
        <v>99.0</v>
      </c>
      <c r="E152" s="10"/>
      <c r="F152" s="18"/>
    </row>
    <row r="153" ht="15.75" customHeight="1">
      <c r="A153" s="19"/>
      <c r="B153" s="16"/>
      <c r="C153" s="17">
        <v>100.0</v>
      </c>
      <c r="D153" s="17">
        <v>199.0</v>
      </c>
      <c r="E153" s="13"/>
      <c r="F153" s="18"/>
    </row>
    <row r="154" ht="15.75" customHeight="1">
      <c r="A154" s="19"/>
      <c r="B154" s="16"/>
      <c r="C154" s="17">
        <v>200.0</v>
      </c>
      <c r="D154" s="24">
        <v>499.0</v>
      </c>
      <c r="E154" s="10">
        <v>15999.0</v>
      </c>
      <c r="F154" s="18"/>
    </row>
    <row r="155" ht="15.75" customHeight="1">
      <c r="A155" s="19"/>
      <c r="B155" s="16"/>
      <c r="C155" s="17">
        <v>500.0</v>
      </c>
      <c r="D155" s="17">
        <v>999.0</v>
      </c>
      <c r="E155" s="13">
        <v>14999.0</v>
      </c>
      <c r="F155" s="18"/>
    </row>
    <row r="156" ht="15.75" customHeight="1">
      <c r="A156" s="26" t="s">
        <v>48</v>
      </c>
      <c r="B156" s="16"/>
      <c r="C156" s="17">
        <v>50.0</v>
      </c>
      <c r="D156" s="17">
        <v>99.0</v>
      </c>
      <c r="E156" s="13">
        <v>6999.0</v>
      </c>
      <c r="F156" s="18"/>
    </row>
    <row r="157" ht="15.75" customHeight="1">
      <c r="A157" s="19"/>
      <c r="B157" s="16"/>
      <c r="C157" s="17">
        <v>100.0</v>
      </c>
      <c r="D157" s="17">
        <v>199.0</v>
      </c>
      <c r="E157" s="13">
        <v>6999.0</v>
      </c>
      <c r="F157" s="18"/>
    </row>
    <row r="158" ht="15.75" customHeight="1">
      <c r="A158" s="19"/>
      <c r="B158" s="16"/>
      <c r="C158" s="17">
        <v>200.0</v>
      </c>
      <c r="D158" s="24">
        <v>499.0</v>
      </c>
      <c r="E158" s="10">
        <v>5999.0</v>
      </c>
      <c r="F158" s="18"/>
    </row>
    <row r="159" ht="15.75" customHeight="1">
      <c r="A159" s="19"/>
      <c r="B159" s="16"/>
      <c r="C159" s="17">
        <v>500.0</v>
      </c>
      <c r="D159" s="17">
        <v>999.0</v>
      </c>
      <c r="E159" s="10">
        <v>5999.0</v>
      </c>
      <c r="F159" s="18"/>
    </row>
    <row r="160" ht="15.75" customHeight="1">
      <c r="A160" s="26" t="s">
        <v>49</v>
      </c>
      <c r="B160" s="16"/>
      <c r="C160" s="17">
        <v>50.0</v>
      </c>
      <c r="D160" s="17">
        <v>99.0</v>
      </c>
      <c r="E160" s="13">
        <v>7999.0</v>
      </c>
      <c r="F160" s="18"/>
    </row>
    <row r="161" ht="15.75" customHeight="1">
      <c r="A161" s="19"/>
      <c r="B161" s="16"/>
      <c r="C161" s="17">
        <v>100.0</v>
      </c>
      <c r="D161" s="17">
        <v>199.0</v>
      </c>
      <c r="E161" s="13">
        <v>7999.0</v>
      </c>
      <c r="F161" s="18"/>
    </row>
    <row r="162" ht="15.75" customHeight="1">
      <c r="A162" s="19"/>
      <c r="B162" s="16"/>
      <c r="C162" s="17">
        <v>200.0</v>
      </c>
      <c r="D162" s="24">
        <v>499.0</v>
      </c>
      <c r="E162" s="10">
        <v>6999.0</v>
      </c>
      <c r="F162" s="18"/>
    </row>
    <row r="163" ht="15.75" customHeight="1">
      <c r="A163" s="19"/>
      <c r="B163" s="16"/>
      <c r="C163" s="17">
        <v>500.0</v>
      </c>
      <c r="D163" s="17">
        <v>999.0</v>
      </c>
      <c r="E163" s="10">
        <v>6999.0</v>
      </c>
      <c r="F163" s="18"/>
    </row>
    <row r="164" ht="15.75" customHeight="1">
      <c r="A164" s="26" t="s">
        <v>50</v>
      </c>
      <c r="B164" s="16"/>
      <c r="C164" s="17">
        <v>50.0</v>
      </c>
      <c r="D164" s="17">
        <v>99.0</v>
      </c>
      <c r="E164" s="10"/>
      <c r="F164" s="18"/>
    </row>
    <row r="165" ht="15.75" customHeight="1">
      <c r="A165" s="19"/>
      <c r="B165" s="16"/>
      <c r="C165" s="17">
        <v>100.0</v>
      </c>
      <c r="D165" s="17">
        <v>199.0</v>
      </c>
      <c r="E165" s="13"/>
      <c r="F165" s="18"/>
    </row>
    <row r="166" ht="15.75" customHeight="1">
      <c r="A166" s="19"/>
      <c r="B166" s="16"/>
      <c r="C166" s="17">
        <v>200.0</v>
      </c>
      <c r="D166" s="24">
        <v>499.0</v>
      </c>
      <c r="E166" s="22"/>
      <c r="F166" s="18"/>
    </row>
    <row r="167" ht="15.75" customHeight="1">
      <c r="A167" s="19"/>
      <c r="B167" s="16"/>
      <c r="C167" s="17">
        <v>500.0</v>
      </c>
      <c r="D167" s="17">
        <v>999.0</v>
      </c>
      <c r="E167" s="13"/>
      <c r="F167" s="18"/>
    </row>
    <row r="168" ht="15.75" customHeight="1">
      <c r="A168" s="19"/>
      <c r="B168" s="16"/>
      <c r="C168" s="17">
        <v>50.0</v>
      </c>
      <c r="D168" s="17">
        <v>99.0</v>
      </c>
      <c r="E168" s="10"/>
      <c r="F168" s="18"/>
    </row>
    <row r="169" ht="15.75" customHeight="1">
      <c r="A169" s="19"/>
      <c r="B169" s="16"/>
      <c r="C169" s="17">
        <v>100.0</v>
      </c>
      <c r="D169" s="17">
        <v>199.0</v>
      </c>
      <c r="E169" s="13"/>
      <c r="F169" s="18"/>
    </row>
    <row r="170" ht="15.75" customHeight="1">
      <c r="A170" s="19"/>
      <c r="B170" s="16"/>
      <c r="C170" s="17">
        <v>200.0</v>
      </c>
      <c r="D170" s="24">
        <v>499.0</v>
      </c>
      <c r="E170" s="22"/>
      <c r="F170" s="18"/>
    </row>
    <row r="171" ht="15.75" customHeight="1">
      <c r="A171" s="19"/>
      <c r="B171" s="16"/>
      <c r="C171" s="17">
        <v>500.0</v>
      </c>
      <c r="D171" s="17">
        <v>999.0</v>
      </c>
      <c r="E171" s="13"/>
      <c r="F171" s="18"/>
    </row>
    <row r="172" ht="15.75" customHeight="1">
      <c r="A172" s="19"/>
      <c r="B172" s="16"/>
      <c r="C172" s="17">
        <v>50.0</v>
      </c>
      <c r="D172" s="17">
        <v>99.0</v>
      </c>
      <c r="E172" s="10"/>
      <c r="F172" s="18"/>
    </row>
    <row r="173" ht="15.75" customHeight="1">
      <c r="A173" s="19"/>
      <c r="B173" s="16"/>
      <c r="C173" s="17">
        <v>100.0</v>
      </c>
      <c r="D173" s="17">
        <v>199.0</v>
      </c>
      <c r="E173" s="13"/>
      <c r="F173" s="18"/>
    </row>
    <row r="174" ht="15.75" customHeight="1">
      <c r="A174" s="19"/>
      <c r="B174" s="16"/>
      <c r="C174" s="17">
        <v>200.0</v>
      </c>
      <c r="D174" s="24">
        <v>499.0</v>
      </c>
      <c r="E174" s="22"/>
      <c r="F174" s="18"/>
    </row>
    <row r="175" ht="15.75" customHeight="1">
      <c r="A175" s="19"/>
      <c r="B175" s="16"/>
      <c r="C175" s="17">
        <v>500.0</v>
      </c>
      <c r="D175" s="17">
        <v>999.0</v>
      </c>
      <c r="E175" s="13"/>
      <c r="F175" s="18"/>
    </row>
    <row r="176" ht="15.75" customHeight="1">
      <c r="A176" s="19"/>
      <c r="B176" s="16"/>
      <c r="C176" s="17">
        <v>50.0</v>
      </c>
      <c r="D176" s="17">
        <v>99.0</v>
      </c>
      <c r="E176" s="10"/>
      <c r="F176" s="18"/>
    </row>
    <row r="177" ht="15.75" customHeight="1">
      <c r="A177" s="19"/>
      <c r="B177" s="16"/>
      <c r="C177" s="17">
        <v>100.0</v>
      </c>
      <c r="D177" s="17">
        <v>199.0</v>
      </c>
      <c r="E177" s="13"/>
      <c r="F177" s="18"/>
    </row>
    <row r="178" ht="15.75" customHeight="1">
      <c r="A178" s="19"/>
      <c r="B178" s="16"/>
      <c r="C178" s="17">
        <v>200.0</v>
      </c>
      <c r="D178" s="24">
        <v>499.0</v>
      </c>
      <c r="E178" s="22"/>
      <c r="F178" s="18"/>
    </row>
    <row r="179" ht="15.75" customHeight="1">
      <c r="A179" s="19"/>
      <c r="B179" s="16"/>
      <c r="C179" s="17">
        <v>500.0</v>
      </c>
      <c r="D179" s="17">
        <v>999.0</v>
      </c>
      <c r="E179" s="13"/>
      <c r="F179" s="18"/>
    </row>
    <row r="180" ht="15.75" customHeight="1">
      <c r="A180" s="19"/>
      <c r="B180" s="16"/>
      <c r="C180" s="17">
        <v>50.0</v>
      </c>
      <c r="D180" s="17">
        <v>99.0</v>
      </c>
      <c r="E180" s="10"/>
      <c r="F180" s="18"/>
    </row>
    <row r="181" ht="15.75" customHeight="1">
      <c r="A181" s="19"/>
      <c r="B181" s="16"/>
      <c r="C181" s="17">
        <v>100.0</v>
      </c>
      <c r="D181" s="17">
        <v>199.0</v>
      </c>
      <c r="E181" s="13"/>
      <c r="F181" s="18"/>
    </row>
    <row r="182" ht="15.75" customHeight="1">
      <c r="A182" s="19"/>
      <c r="B182" s="16"/>
      <c r="C182" s="17">
        <v>200.0</v>
      </c>
      <c r="D182" s="24">
        <v>499.0</v>
      </c>
      <c r="E182" s="22"/>
      <c r="F182" s="18"/>
    </row>
    <row r="183" ht="15.75" customHeight="1">
      <c r="A183" s="19"/>
      <c r="B183" s="16"/>
      <c r="C183" s="17">
        <v>500.0</v>
      </c>
      <c r="D183" s="17">
        <v>999.0</v>
      </c>
      <c r="E183" s="13"/>
      <c r="F183" s="18"/>
    </row>
    <row r="184" ht="15.75" customHeight="1">
      <c r="A184" s="19"/>
      <c r="B184" s="16"/>
      <c r="C184" s="17">
        <v>50.0</v>
      </c>
      <c r="D184" s="17">
        <v>99.0</v>
      </c>
      <c r="E184" s="10"/>
      <c r="F184" s="18"/>
    </row>
    <row r="185" ht="15.75" customHeight="1">
      <c r="A185" s="19"/>
      <c r="B185" s="16"/>
      <c r="C185" s="17">
        <v>100.0</v>
      </c>
      <c r="D185" s="17">
        <v>199.0</v>
      </c>
      <c r="E185" s="13"/>
      <c r="F185" s="18"/>
    </row>
    <row r="186" ht="15.75" customHeight="1">
      <c r="A186" s="19"/>
      <c r="B186" s="16"/>
      <c r="C186" s="17">
        <v>200.0</v>
      </c>
      <c r="D186" s="24">
        <v>499.0</v>
      </c>
      <c r="E186" s="22"/>
      <c r="F186" s="18"/>
    </row>
    <row r="187" ht="15.75" customHeight="1">
      <c r="A187" s="19"/>
      <c r="B187" s="16"/>
      <c r="C187" s="17">
        <v>500.0</v>
      </c>
      <c r="D187" s="17">
        <v>999.0</v>
      </c>
      <c r="E187" s="13"/>
      <c r="F187" s="18"/>
    </row>
    <row r="188" ht="15.75" customHeight="1">
      <c r="A188" s="19"/>
      <c r="B188" s="16"/>
      <c r="C188" s="17">
        <v>50.0</v>
      </c>
      <c r="D188" s="17">
        <v>99.0</v>
      </c>
      <c r="E188" s="10"/>
      <c r="F188" s="18"/>
    </row>
    <row r="189" ht="15.75" customHeight="1">
      <c r="A189" s="19"/>
      <c r="B189" s="16"/>
      <c r="C189" s="17">
        <v>100.0</v>
      </c>
      <c r="D189" s="17">
        <v>199.0</v>
      </c>
      <c r="E189" s="13"/>
      <c r="F189" s="18"/>
    </row>
    <row r="190" ht="15.75" customHeight="1">
      <c r="A190" s="19"/>
      <c r="B190" s="16"/>
      <c r="C190" s="17">
        <v>200.0</v>
      </c>
      <c r="D190" s="24">
        <v>499.0</v>
      </c>
      <c r="E190" s="22"/>
      <c r="F190" s="18"/>
    </row>
    <row r="191" ht="15.75" customHeight="1">
      <c r="A191" s="19"/>
      <c r="B191" s="16"/>
      <c r="C191" s="17">
        <v>500.0</v>
      </c>
      <c r="D191" s="17">
        <v>999.0</v>
      </c>
      <c r="E191" s="13"/>
      <c r="F191" s="18"/>
    </row>
    <row r="192" ht="19.5" customHeight="1">
      <c r="A192" s="27" t="s">
        <v>51</v>
      </c>
      <c r="B192" s="2"/>
      <c r="C192" s="2"/>
      <c r="D192" s="2"/>
      <c r="E192" s="2"/>
      <c r="F192" s="3"/>
    </row>
    <row r="193" ht="15.75" customHeight="1">
      <c r="A193" s="7" t="s">
        <v>52</v>
      </c>
      <c r="B193" s="8"/>
      <c r="C193" s="9">
        <v>50.0</v>
      </c>
      <c r="D193" s="9">
        <v>99.0</v>
      </c>
      <c r="E193" s="25"/>
      <c r="F193" s="11" t="s">
        <v>53</v>
      </c>
    </row>
    <row r="194" ht="15.75" customHeight="1">
      <c r="A194" s="19" t="s">
        <v>52</v>
      </c>
      <c r="B194" s="16"/>
      <c r="C194" s="17">
        <v>100.0</v>
      </c>
      <c r="D194" s="17">
        <v>199.0</v>
      </c>
      <c r="E194" s="25"/>
      <c r="F194" s="18"/>
    </row>
    <row r="195" ht="15.75" customHeight="1">
      <c r="A195" s="12" t="s">
        <v>52</v>
      </c>
      <c r="B195" s="8"/>
      <c r="C195" s="9">
        <v>200.0</v>
      </c>
      <c r="D195" s="9">
        <v>299.0</v>
      </c>
      <c r="E195" s="25"/>
      <c r="F195" s="11"/>
    </row>
    <row r="196" ht="15.75" customHeight="1">
      <c r="A196" s="19" t="s">
        <v>52</v>
      </c>
      <c r="B196" s="16"/>
      <c r="C196" s="17">
        <v>500.0</v>
      </c>
      <c r="D196" s="17" t="s">
        <v>54</v>
      </c>
      <c r="E196" s="25"/>
      <c r="F196" s="18"/>
    </row>
    <row r="197" ht="15.75" customHeight="1">
      <c r="A197" s="7" t="s">
        <v>55</v>
      </c>
      <c r="B197" s="8"/>
      <c r="C197" s="9">
        <v>50.0</v>
      </c>
      <c r="D197" s="9">
        <v>99.0</v>
      </c>
      <c r="E197" s="25"/>
      <c r="F197" s="11" t="s">
        <v>53</v>
      </c>
    </row>
    <row r="198" ht="15.75" customHeight="1">
      <c r="A198" s="19" t="s">
        <v>55</v>
      </c>
      <c r="B198" s="16"/>
      <c r="C198" s="17">
        <v>100.0</v>
      </c>
      <c r="D198" s="17">
        <v>199.0</v>
      </c>
      <c r="E198" s="25"/>
      <c r="F198" s="18"/>
    </row>
    <row r="199" ht="15.75" customHeight="1">
      <c r="A199" s="12" t="s">
        <v>55</v>
      </c>
      <c r="B199" s="8"/>
      <c r="C199" s="9">
        <v>200.0</v>
      </c>
      <c r="D199" s="9">
        <v>299.0</v>
      </c>
      <c r="E199" s="25"/>
      <c r="F199" s="11"/>
    </row>
    <row r="200" ht="15.75" customHeight="1">
      <c r="A200" s="19" t="s">
        <v>55</v>
      </c>
      <c r="B200" s="16"/>
      <c r="C200" s="17">
        <v>500.0</v>
      </c>
      <c r="D200" s="17" t="s">
        <v>54</v>
      </c>
      <c r="E200" s="25"/>
      <c r="F200" s="18"/>
    </row>
    <row r="201" ht="15.75" customHeight="1">
      <c r="A201" s="7" t="s">
        <v>56</v>
      </c>
      <c r="B201" s="8"/>
      <c r="C201" s="9">
        <v>50.0</v>
      </c>
      <c r="D201" s="9">
        <v>99.0</v>
      </c>
      <c r="E201" s="25"/>
      <c r="F201" s="11" t="s">
        <v>53</v>
      </c>
    </row>
    <row r="202" ht="15.75" customHeight="1">
      <c r="A202" s="19" t="s">
        <v>56</v>
      </c>
      <c r="B202" s="16"/>
      <c r="C202" s="17">
        <v>100.0</v>
      </c>
      <c r="D202" s="17">
        <v>199.0</v>
      </c>
      <c r="E202" s="25"/>
      <c r="F202" s="18"/>
    </row>
    <row r="203" ht="15.75" customHeight="1">
      <c r="A203" s="12" t="s">
        <v>56</v>
      </c>
      <c r="B203" s="8"/>
      <c r="C203" s="9">
        <v>200.0</v>
      </c>
      <c r="D203" s="9">
        <v>299.0</v>
      </c>
      <c r="E203" s="25"/>
      <c r="F203" s="11"/>
    </row>
    <row r="204" ht="15.75" customHeight="1">
      <c r="A204" s="19" t="s">
        <v>56</v>
      </c>
      <c r="B204" s="16"/>
      <c r="C204" s="17">
        <v>500.0</v>
      </c>
      <c r="D204" s="17" t="s">
        <v>54</v>
      </c>
      <c r="E204" s="25"/>
      <c r="F204" s="18"/>
    </row>
    <row r="205" ht="15.75" customHeight="1">
      <c r="A205" s="7" t="s">
        <v>57</v>
      </c>
      <c r="B205" s="8"/>
      <c r="C205" s="9">
        <v>50.0</v>
      </c>
      <c r="D205" s="9">
        <v>99.0</v>
      </c>
      <c r="E205" s="25"/>
      <c r="F205" s="11" t="s">
        <v>53</v>
      </c>
    </row>
    <row r="206" ht="15.75" customHeight="1">
      <c r="A206" s="19" t="s">
        <v>57</v>
      </c>
      <c r="B206" s="16"/>
      <c r="C206" s="17">
        <v>100.0</v>
      </c>
      <c r="D206" s="17">
        <v>199.0</v>
      </c>
      <c r="E206" s="25"/>
      <c r="F206" s="18"/>
    </row>
    <row r="207" ht="15.75" customHeight="1">
      <c r="A207" s="12" t="s">
        <v>57</v>
      </c>
      <c r="B207" s="8"/>
      <c r="C207" s="9">
        <v>200.0</v>
      </c>
      <c r="D207" s="9">
        <v>299.0</v>
      </c>
      <c r="E207" s="25"/>
      <c r="F207" s="11"/>
    </row>
    <row r="208" ht="15.75" customHeight="1">
      <c r="A208" s="19" t="s">
        <v>57</v>
      </c>
      <c r="B208" s="16"/>
      <c r="C208" s="17">
        <v>500.0</v>
      </c>
      <c r="D208" s="17" t="s">
        <v>54</v>
      </c>
      <c r="E208" s="25"/>
      <c r="F208" s="18"/>
    </row>
    <row r="209" ht="15.75" customHeight="1">
      <c r="A209" s="7" t="s">
        <v>58</v>
      </c>
      <c r="B209" s="8"/>
      <c r="C209" s="9">
        <v>50.0</v>
      </c>
      <c r="D209" s="9">
        <v>99.0</v>
      </c>
      <c r="E209" s="25"/>
      <c r="F209" s="11" t="s">
        <v>53</v>
      </c>
    </row>
    <row r="210" ht="15.75" customHeight="1">
      <c r="A210" s="19" t="s">
        <v>58</v>
      </c>
      <c r="B210" s="16"/>
      <c r="C210" s="17">
        <v>100.0</v>
      </c>
      <c r="D210" s="17">
        <v>199.0</v>
      </c>
      <c r="E210" s="25"/>
      <c r="F210" s="18"/>
    </row>
    <row r="211" ht="15.75" customHeight="1">
      <c r="A211" s="12" t="s">
        <v>58</v>
      </c>
      <c r="B211" s="8"/>
      <c r="C211" s="9">
        <v>200.0</v>
      </c>
      <c r="D211" s="9">
        <v>299.0</v>
      </c>
      <c r="E211" s="25"/>
      <c r="F211" s="11"/>
    </row>
    <row r="212" ht="15.75" customHeight="1">
      <c r="A212" s="19" t="s">
        <v>58</v>
      </c>
      <c r="B212" s="16"/>
      <c r="C212" s="17">
        <v>500.0</v>
      </c>
      <c r="D212" s="17" t="s">
        <v>54</v>
      </c>
      <c r="E212" s="25"/>
      <c r="F212" s="18"/>
    </row>
    <row r="213" ht="15.75" customHeight="1">
      <c r="A213" s="7" t="s">
        <v>59</v>
      </c>
      <c r="B213" s="8"/>
      <c r="C213" s="9">
        <v>50.0</v>
      </c>
      <c r="D213" s="9">
        <v>99.0</v>
      </c>
      <c r="E213" s="25"/>
      <c r="F213" s="11" t="s">
        <v>53</v>
      </c>
    </row>
    <row r="214" ht="15.75" customHeight="1">
      <c r="A214" s="19" t="s">
        <v>59</v>
      </c>
      <c r="B214" s="16"/>
      <c r="C214" s="17">
        <v>100.0</v>
      </c>
      <c r="D214" s="17">
        <v>199.0</v>
      </c>
      <c r="E214" s="25"/>
      <c r="F214" s="18"/>
    </row>
    <row r="215" ht="15.75" customHeight="1">
      <c r="A215" s="12" t="s">
        <v>59</v>
      </c>
      <c r="B215" s="8"/>
      <c r="C215" s="9">
        <v>200.0</v>
      </c>
      <c r="D215" s="9">
        <v>299.0</v>
      </c>
      <c r="E215" s="25"/>
      <c r="F215" s="11"/>
    </row>
    <row r="216" ht="15.75" customHeight="1">
      <c r="A216" s="19" t="s">
        <v>59</v>
      </c>
      <c r="B216" s="16"/>
      <c r="C216" s="17">
        <v>500.0</v>
      </c>
      <c r="D216" s="17" t="s">
        <v>54</v>
      </c>
      <c r="E216" s="25"/>
      <c r="F216" s="18"/>
    </row>
    <row r="217" ht="15.75" customHeight="1">
      <c r="A217" s="7" t="s">
        <v>60</v>
      </c>
      <c r="B217" s="8"/>
      <c r="C217" s="9">
        <v>50.0</v>
      </c>
      <c r="D217" s="9">
        <v>99.0</v>
      </c>
      <c r="E217" s="25"/>
      <c r="F217" s="11" t="s">
        <v>53</v>
      </c>
    </row>
    <row r="218" ht="15.75" customHeight="1">
      <c r="A218" s="19" t="s">
        <v>60</v>
      </c>
      <c r="B218" s="16"/>
      <c r="C218" s="17">
        <v>100.0</v>
      </c>
      <c r="D218" s="17">
        <v>199.0</v>
      </c>
      <c r="E218" s="25"/>
      <c r="F218" s="18"/>
    </row>
    <row r="219" ht="15.75" customHeight="1">
      <c r="A219" s="12" t="s">
        <v>60</v>
      </c>
      <c r="B219" s="8"/>
      <c r="C219" s="9">
        <v>200.0</v>
      </c>
      <c r="D219" s="9">
        <v>299.0</v>
      </c>
      <c r="E219" s="25"/>
      <c r="F219" s="11"/>
    </row>
    <row r="220" ht="15.75" customHeight="1">
      <c r="A220" s="19" t="s">
        <v>60</v>
      </c>
      <c r="B220" s="16"/>
      <c r="C220" s="17">
        <v>500.0</v>
      </c>
      <c r="D220" s="17" t="s">
        <v>54</v>
      </c>
      <c r="E220" s="25"/>
      <c r="F220" s="18"/>
    </row>
    <row r="221" ht="15.75" customHeight="1">
      <c r="A221" s="7" t="s">
        <v>61</v>
      </c>
      <c r="B221" s="8"/>
      <c r="C221" s="9">
        <v>50.0</v>
      </c>
      <c r="D221" s="9">
        <v>99.0</v>
      </c>
      <c r="E221" s="25"/>
      <c r="F221" s="11" t="s">
        <v>53</v>
      </c>
    </row>
    <row r="222" ht="15.75" customHeight="1">
      <c r="A222" s="19" t="s">
        <v>61</v>
      </c>
      <c r="B222" s="16"/>
      <c r="C222" s="17">
        <v>100.0</v>
      </c>
      <c r="D222" s="17">
        <v>199.0</v>
      </c>
      <c r="E222" s="25"/>
      <c r="F222" s="18"/>
    </row>
    <row r="223" ht="15.75" customHeight="1">
      <c r="A223" s="12" t="s">
        <v>61</v>
      </c>
      <c r="B223" s="8"/>
      <c r="C223" s="9">
        <v>200.0</v>
      </c>
      <c r="D223" s="9">
        <v>299.0</v>
      </c>
      <c r="E223" s="25"/>
      <c r="F223" s="11"/>
    </row>
    <row r="224" ht="15.75" customHeight="1">
      <c r="A224" s="19" t="s">
        <v>61</v>
      </c>
      <c r="B224" s="16"/>
      <c r="C224" s="17">
        <v>500.0</v>
      </c>
      <c r="D224" s="17" t="s">
        <v>54</v>
      </c>
      <c r="E224" s="25"/>
      <c r="F224" s="18"/>
    </row>
    <row r="225" ht="15.75" customHeight="1">
      <c r="A225" s="7" t="s">
        <v>62</v>
      </c>
      <c r="B225" s="8" t="s">
        <v>63</v>
      </c>
      <c r="C225" s="9">
        <v>50.0</v>
      </c>
      <c r="D225" s="9">
        <v>99.0</v>
      </c>
      <c r="E225" s="25"/>
      <c r="F225" s="11" t="s">
        <v>53</v>
      </c>
    </row>
    <row r="226" ht="15.75" customHeight="1">
      <c r="A226" s="19" t="s">
        <v>62</v>
      </c>
      <c r="B226" s="16" t="s">
        <v>63</v>
      </c>
      <c r="C226" s="17">
        <v>100.0</v>
      </c>
      <c r="D226" s="17">
        <v>199.0</v>
      </c>
      <c r="E226" s="25"/>
      <c r="F226" s="18"/>
    </row>
    <row r="227" ht="15.75" customHeight="1">
      <c r="A227" s="12" t="s">
        <v>62</v>
      </c>
      <c r="B227" s="8" t="s">
        <v>63</v>
      </c>
      <c r="C227" s="9">
        <v>200.0</v>
      </c>
      <c r="D227" s="9">
        <v>299.0</v>
      </c>
      <c r="E227" s="25"/>
      <c r="F227" s="11"/>
    </row>
    <row r="228" ht="15.75" customHeight="1">
      <c r="A228" s="19" t="s">
        <v>62</v>
      </c>
      <c r="B228" s="16" t="s">
        <v>63</v>
      </c>
      <c r="C228" s="17">
        <v>500.0</v>
      </c>
      <c r="D228" s="17" t="s">
        <v>54</v>
      </c>
      <c r="E228" s="25"/>
      <c r="F228" s="18"/>
    </row>
    <row r="229" ht="15.75" customHeight="1">
      <c r="A229" s="7" t="s">
        <v>64</v>
      </c>
      <c r="B229" s="8" t="s">
        <v>65</v>
      </c>
      <c r="C229" s="9">
        <v>50.0</v>
      </c>
      <c r="D229" s="9">
        <v>99.0</v>
      </c>
      <c r="E229" s="25"/>
      <c r="F229" s="11" t="s">
        <v>53</v>
      </c>
    </row>
    <row r="230" ht="15.75" customHeight="1">
      <c r="A230" s="19" t="s">
        <v>64</v>
      </c>
      <c r="B230" s="16" t="s">
        <v>65</v>
      </c>
      <c r="C230" s="17">
        <v>100.0</v>
      </c>
      <c r="D230" s="17">
        <v>199.0</v>
      </c>
      <c r="E230" s="25"/>
      <c r="F230" s="18"/>
    </row>
    <row r="231" ht="15.75" customHeight="1">
      <c r="A231" s="12" t="s">
        <v>64</v>
      </c>
      <c r="B231" s="8" t="s">
        <v>65</v>
      </c>
      <c r="C231" s="9">
        <v>200.0</v>
      </c>
      <c r="D231" s="9">
        <v>299.0</v>
      </c>
      <c r="E231" s="25"/>
      <c r="F231" s="11"/>
    </row>
    <row r="232" ht="15.75" customHeight="1">
      <c r="A232" s="19" t="s">
        <v>64</v>
      </c>
      <c r="B232" s="16" t="s">
        <v>65</v>
      </c>
      <c r="C232" s="17">
        <v>500.0</v>
      </c>
      <c r="D232" s="17" t="s">
        <v>54</v>
      </c>
      <c r="E232" s="25"/>
      <c r="F232" s="18"/>
    </row>
    <row r="233" ht="15.75" customHeight="1">
      <c r="A233" s="7" t="s">
        <v>66</v>
      </c>
      <c r="B233" s="8" t="s">
        <v>67</v>
      </c>
      <c r="C233" s="9">
        <v>50.0</v>
      </c>
      <c r="D233" s="9">
        <v>99.0</v>
      </c>
      <c r="E233" s="25"/>
      <c r="F233" s="11" t="s">
        <v>53</v>
      </c>
    </row>
    <row r="234" ht="15.75" customHeight="1">
      <c r="A234" s="19" t="s">
        <v>66</v>
      </c>
      <c r="B234" s="16" t="s">
        <v>67</v>
      </c>
      <c r="C234" s="17">
        <v>100.0</v>
      </c>
      <c r="D234" s="17">
        <v>199.0</v>
      </c>
      <c r="E234" s="25"/>
      <c r="F234" s="18"/>
    </row>
    <row r="235" ht="15.75" customHeight="1">
      <c r="A235" s="12" t="s">
        <v>66</v>
      </c>
      <c r="B235" s="8" t="s">
        <v>67</v>
      </c>
      <c r="C235" s="9">
        <v>200.0</v>
      </c>
      <c r="D235" s="9">
        <v>299.0</v>
      </c>
      <c r="E235" s="25"/>
      <c r="F235" s="11"/>
    </row>
    <row r="236" ht="15.75" customHeight="1">
      <c r="A236" s="19" t="s">
        <v>66</v>
      </c>
      <c r="B236" s="16" t="s">
        <v>67</v>
      </c>
      <c r="C236" s="17">
        <v>500.0</v>
      </c>
      <c r="D236" s="17" t="s">
        <v>54</v>
      </c>
      <c r="E236" s="25"/>
      <c r="F236" s="18"/>
    </row>
    <row r="237" ht="15.75" customHeight="1">
      <c r="A237" s="7" t="s">
        <v>68</v>
      </c>
      <c r="B237" s="8" t="s">
        <v>69</v>
      </c>
      <c r="C237" s="9">
        <v>50.0</v>
      </c>
      <c r="D237" s="9">
        <v>99.0</v>
      </c>
      <c r="E237" s="25"/>
      <c r="F237" s="11" t="s">
        <v>53</v>
      </c>
    </row>
    <row r="238" ht="15.75" customHeight="1">
      <c r="A238" s="19" t="s">
        <v>68</v>
      </c>
      <c r="B238" s="16" t="s">
        <v>69</v>
      </c>
      <c r="C238" s="17">
        <v>100.0</v>
      </c>
      <c r="D238" s="17">
        <v>199.0</v>
      </c>
      <c r="E238" s="25"/>
      <c r="F238" s="18"/>
    </row>
    <row r="239" ht="15.75" customHeight="1">
      <c r="A239" s="12" t="s">
        <v>68</v>
      </c>
      <c r="B239" s="8" t="s">
        <v>69</v>
      </c>
      <c r="C239" s="9">
        <v>200.0</v>
      </c>
      <c r="D239" s="9">
        <v>299.0</v>
      </c>
      <c r="E239" s="25"/>
      <c r="F239" s="11"/>
    </row>
    <row r="240" ht="15.75" customHeight="1">
      <c r="A240" s="19" t="s">
        <v>68</v>
      </c>
      <c r="B240" s="16" t="s">
        <v>69</v>
      </c>
      <c r="C240" s="17">
        <v>500.0</v>
      </c>
      <c r="D240" s="17" t="s">
        <v>54</v>
      </c>
      <c r="E240" s="25"/>
      <c r="F240" s="18"/>
    </row>
    <row r="241" ht="15.75" customHeight="1">
      <c r="A241" s="7" t="s">
        <v>70</v>
      </c>
      <c r="B241" s="8" t="s">
        <v>71</v>
      </c>
      <c r="C241" s="9">
        <v>50.0</v>
      </c>
      <c r="D241" s="9">
        <v>99.0</v>
      </c>
      <c r="E241" s="25"/>
      <c r="F241" s="11" t="s">
        <v>53</v>
      </c>
    </row>
    <row r="242" ht="15.75" customHeight="1">
      <c r="A242" s="19" t="s">
        <v>70</v>
      </c>
      <c r="B242" s="16" t="s">
        <v>71</v>
      </c>
      <c r="C242" s="17">
        <v>100.0</v>
      </c>
      <c r="D242" s="17">
        <v>199.0</v>
      </c>
      <c r="E242" s="25"/>
      <c r="F242" s="18"/>
    </row>
    <row r="243" ht="15.75" customHeight="1">
      <c r="A243" s="12" t="s">
        <v>70</v>
      </c>
      <c r="B243" s="8" t="s">
        <v>71</v>
      </c>
      <c r="C243" s="9">
        <v>200.0</v>
      </c>
      <c r="D243" s="9">
        <v>299.0</v>
      </c>
      <c r="E243" s="25"/>
      <c r="F243" s="11"/>
    </row>
    <row r="244" ht="15.75" customHeight="1">
      <c r="A244" s="19" t="s">
        <v>70</v>
      </c>
      <c r="B244" s="16" t="s">
        <v>71</v>
      </c>
      <c r="C244" s="17">
        <v>500.0</v>
      </c>
      <c r="D244" s="17" t="s">
        <v>54</v>
      </c>
      <c r="E244" s="25"/>
      <c r="F244" s="18"/>
    </row>
    <row r="245" ht="15.75" customHeight="1">
      <c r="A245" s="7" t="s">
        <v>72</v>
      </c>
      <c r="B245" s="8" t="s">
        <v>73</v>
      </c>
      <c r="C245" s="9">
        <v>50.0</v>
      </c>
      <c r="D245" s="9">
        <v>99.0</v>
      </c>
      <c r="E245" s="25"/>
      <c r="F245" s="11" t="s">
        <v>53</v>
      </c>
    </row>
    <row r="246" ht="15.75" customHeight="1">
      <c r="A246" s="19" t="s">
        <v>72</v>
      </c>
      <c r="B246" s="16" t="s">
        <v>73</v>
      </c>
      <c r="C246" s="17">
        <v>100.0</v>
      </c>
      <c r="D246" s="17">
        <v>199.0</v>
      </c>
      <c r="E246" s="25"/>
      <c r="F246" s="18"/>
    </row>
    <row r="247" ht="15.75" customHeight="1">
      <c r="A247" s="12" t="s">
        <v>72</v>
      </c>
      <c r="B247" s="8" t="s">
        <v>73</v>
      </c>
      <c r="C247" s="9">
        <v>200.0</v>
      </c>
      <c r="D247" s="9">
        <v>299.0</v>
      </c>
      <c r="E247" s="25"/>
      <c r="F247" s="11"/>
    </row>
    <row r="248" ht="15.75" customHeight="1">
      <c r="A248" s="19" t="s">
        <v>72</v>
      </c>
      <c r="B248" s="16" t="s">
        <v>73</v>
      </c>
      <c r="C248" s="17">
        <v>500.0</v>
      </c>
      <c r="D248" s="17" t="s">
        <v>54</v>
      </c>
      <c r="E248" s="25"/>
      <c r="F248" s="18"/>
    </row>
    <row r="249" ht="15.75" customHeight="1">
      <c r="A249" s="7" t="s">
        <v>74</v>
      </c>
      <c r="B249" s="8" t="s">
        <v>75</v>
      </c>
      <c r="C249" s="9">
        <v>50.0</v>
      </c>
      <c r="D249" s="9">
        <v>99.0</v>
      </c>
      <c r="E249" s="25"/>
      <c r="F249" s="11" t="s">
        <v>53</v>
      </c>
    </row>
    <row r="250" ht="15.75" customHeight="1">
      <c r="A250" s="19" t="s">
        <v>74</v>
      </c>
      <c r="B250" s="16" t="s">
        <v>75</v>
      </c>
      <c r="C250" s="17">
        <v>100.0</v>
      </c>
      <c r="D250" s="17">
        <v>199.0</v>
      </c>
      <c r="E250" s="25"/>
      <c r="F250" s="18"/>
    </row>
    <row r="251" ht="15.75" customHeight="1">
      <c r="A251" s="12" t="s">
        <v>74</v>
      </c>
      <c r="B251" s="8" t="s">
        <v>75</v>
      </c>
      <c r="C251" s="9">
        <v>200.0</v>
      </c>
      <c r="D251" s="9">
        <v>299.0</v>
      </c>
      <c r="E251" s="25"/>
      <c r="F251" s="11"/>
    </row>
    <row r="252" ht="15.75" customHeight="1">
      <c r="A252" s="19" t="s">
        <v>74</v>
      </c>
      <c r="B252" s="16" t="s">
        <v>75</v>
      </c>
      <c r="C252" s="17">
        <v>500.0</v>
      </c>
      <c r="D252" s="17" t="s">
        <v>54</v>
      </c>
      <c r="E252" s="25"/>
      <c r="F252" s="18"/>
    </row>
    <row r="253" ht="15.75" customHeight="1">
      <c r="A253" s="7" t="s">
        <v>76</v>
      </c>
      <c r="B253" s="8" t="s">
        <v>77</v>
      </c>
      <c r="C253" s="9">
        <v>50.0</v>
      </c>
      <c r="D253" s="9">
        <v>99.0</v>
      </c>
      <c r="E253" s="25"/>
      <c r="F253" s="11" t="s">
        <v>53</v>
      </c>
    </row>
    <row r="254" ht="15.75" customHeight="1">
      <c r="A254" s="19" t="s">
        <v>76</v>
      </c>
      <c r="B254" s="16" t="s">
        <v>77</v>
      </c>
      <c r="C254" s="17">
        <v>100.0</v>
      </c>
      <c r="D254" s="17">
        <v>199.0</v>
      </c>
      <c r="E254" s="25"/>
      <c r="F254" s="18"/>
    </row>
    <row r="255" ht="15.75" customHeight="1">
      <c r="A255" s="12" t="s">
        <v>76</v>
      </c>
      <c r="B255" s="8" t="s">
        <v>77</v>
      </c>
      <c r="C255" s="9">
        <v>200.0</v>
      </c>
      <c r="D255" s="9">
        <v>299.0</v>
      </c>
      <c r="E255" s="25"/>
      <c r="F255" s="11"/>
    </row>
    <row r="256" ht="15.75" customHeight="1">
      <c r="A256" s="19" t="s">
        <v>76</v>
      </c>
      <c r="B256" s="16" t="s">
        <v>77</v>
      </c>
      <c r="C256" s="17">
        <v>500.0</v>
      </c>
      <c r="D256" s="17" t="s">
        <v>54</v>
      </c>
      <c r="E256" s="25"/>
      <c r="F256" s="18"/>
    </row>
    <row r="257" ht="15.75" customHeight="1">
      <c r="A257" s="7" t="s">
        <v>78</v>
      </c>
      <c r="B257" s="8" t="s">
        <v>79</v>
      </c>
      <c r="C257" s="9">
        <v>50.0</v>
      </c>
      <c r="D257" s="9">
        <v>99.0</v>
      </c>
      <c r="E257" s="25"/>
      <c r="F257" s="11" t="s">
        <v>53</v>
      </c>
    </row>
    <row r="258" ht="15.75" customHeight="1">
      <c r="A258" s="19" t="s">
        <v>78</v>
      </c>
      <c r="B258" s="16" t="s">
        <v>79</v>
      </c>
      <c r="C258" s="17">
        <v>100.0</v>
      </c>
      <c r="D258" s="17">
        <v>199.0</v>
      </c>
      <c r="E258" s="25"/>
      <c r="F258" s="18"/>
    </row>
    <row r="259" ht="15.75" customHeight="1">
      <c r="A259" s="12" t="s">
        <v>78</v>
      </c>
      <c r="B259" s="8" t="s">
        <v>79</v>
      </c>
      <c r="C259" s="9">
        <v>200.0</v>
      </c>
      <c r="D259" s="9">
        <v>299.0</v>
      </c>
      <c r="E259" s="25"/>
      <c r="F259" s="11"/>
    </row>
    <row r="260" ht="15.75" customHeight="1">
      <c r="A260" s="19" t="s">
        <v>78</v>
      </c>
      <c r="B260" s="16" t="s">
        <v>79</v>
      </c>
      <c r="C260" s="17">
        <v>500.0</v>
      </c>
      <c r="D260" s="17" t="s">
        <v>54</v>
      </c>
      <c r="E260" s="25"/>
      <c r="F260" s="18"/>
    </row>
    <row r="261" ht="15.75" customHeight="1">
      <c r="A261" s="7" t="s">
        <v>80</v>
      </c>
      <c r="B261" s="8" t="s">
        <v>81</v>
      </c>
      <c r="C261" s="9">
        <v>50.0</v>
      </c>
      <c r="D261" s="9">
        <v>99.0</v>
      </c>
      <c r="E261" s="25"/>
      <c r="F261" s="11" t="s">
        <v>53</v>
      </c>
    </row>
    <row r="262" ht="15.75" customHeight="1">
      <c r="A262" s="19" t="s">
        <v>80</v>
      </c>
      <c r="B262" s="16" t="s">
        <v>81</v>
      </c>
      <c r="C262" s="17">
        <v>100.0</v>
      </c>
      <c r="D262" s="17">
        <v>199.0</v>
      </c>
      <c r="E262" s="25"/>
      <c r="F262" s="18"/>
    </row>
    <row r="263" ht="15.75" customHeight="1">
      <c r="A263" s="12" t="s">
        <v>80</v>
      </c>
      <c r="B263" s="8" t="s">
        <v>81</v>
      </c>
      <c r="C263" s="9">
        <v>200.0</v>
      </c>
      <c r="D263" s="9">
        <v>299.0</v>
      </c>
      <c r="E263" s="25"/>
      <c r="F263" s="11"/>
    </row>
    <row r="264" ht="15.75" customHeight="1">
      <c r="A264" s="19" t="s">
        <v>80</v>
      </c>
      <c r="B264" s="16" t="s">
        <v>81</v>
      </c>
      <c r="C264" s="17">
        <v>500.0</v>
      </c>
      <c r="D264" s="17" t="s">
        <v>54</v>
      </c>
      <c r="E264" s="25"/>
      <c r="F264" s="18"/>
    </row>
    <row r="265" ht="15.75" customHeight="1">
      <c r="A265" s="7" t="s">
        <v>82</v>
      </c>
      <c r="B265" s="8" t="s">
        <v>83</v>
      </c>
      <c r="C265" s="9">
        <v>50.0</v>
      </c>
      <c r="D265" s="9">
        <v>99.0</v>
      </c>
      <c r="E265" s="25"/>
      <c r="F265" s="11" t="s">
        <v>53</v>
      </c>
    </row>
    <row r="266" ht="15.75" customHeight="1">
      <c r="A266" s="19" t="s">
        <v>82</v>
      </c>
      <c r="B266" s="16" t="s">
        <v>83</v>
      </c>
      <c r="C266" s="17">
        <v>100.0</v>
      </c>
      <c r="D266" s="17">
        <v>199.0</v>
      </c>
      <c r="E266" s="25"/>
      <c r="F266" s="18"/>
    </row>
    <row r="267" ht="15.75" customHeight="1">
      <c r="A267" s="12" t="s">
        <v>82</v>
      </c>
      <c r="B267" s="8" t="s">
        <v>83</v>
      </c>
      <c r="C267" s="9">
        <v>200.0</v>
      </c>
      <c r="D267" s="9">
        <v>299.0</v>
      </c>
      <c r="E267" s="25"/>
      <c r="F267" s="11"/>
    </row>
    <row r="268" ht="15.75" customHeight="1">
      <c r="A268" s="19" t="s">
        <v>82</v>
      </c>
      <c r="B268" s="16" t="s">
        <v>83</v>
      </c>
      <c r="C268" s="17">
        <v>500.0</v>
      </c>
      <c r="D268" s="17" t="s">
        <v>54</v>
      </c>
      <c r="E268" s="25"/>
      <c r="F268" s="18"/>
    </row>
    <row r="269" ht="15.75" customHeight="1">
      <c r="A269" s="7" t="s">
        <v>84</v>
      </c>
      <c r="B269" s="8" t="s">
        <v>85</v>
      </c>
      <c r="C269" s="9">
        <v>50.0</v>
      </c>
      <c r="D269" s="9">
        <v>99.0</v>
      </c>
      <c r="E269" s="25"/>
      <c r="F269" s="11" t="s">
        <v>53</v>
      </c>
    </row>
    <row r="270" ht="15.75" customHeight="1">
      <c r="A270" s="19" t="s">
        <v>84</v>
      </c>
      <c r="B270" s="16" t="s">
        <v>85</v>
      </c>
      <c r="C270" s="17">
        <v>100.0</v>
      </c>
      <c r="D270" s="17">
        <v>199.0</v>
      </c>
      <c r="E270" s="25"/>
      <c r="F270" s="18"/>
    </row>
    <row r="271" ht="15.75" customHeight="1">
      <c r="A271" s="12" t="s">
        <v>84</v>
      </c>
      <c r="B271" s="8" t="s">
        <v>85</v>
      </c>
      <c r="C271" s="9">
        <v>200.0</v>
      </c>
      <c r="D271" s="9">
        <v>299.0</v>
      </c>
      <c r="E271" s="25"/>
      <c r="F271" s="11"/>
    </row>
    <row r="272" ht="15.75" customHeight="1">
      <c r="A272" s="19" t="s">
        <v>84</v>
      </c>
      <c r="B272" s="16" t="s">
        <v>85</v>
      </c>
      <c r="C272" s="17">
        <v>500.0</v>
      </c>
      <c r="D272" s="17" t="s">
        <v>54</v>
      </c>
      <c r="E272" s="25"/>
      <c r="F272" s="18"/>
    </row>
    <row r="273" ht="15.75" customHeight="1">
      <c r="A273" s="7" t="s">
        <v>86</v>
      </c>
      <c r="B273" s="8" t="s">
        <v>87</v>
      </c>
      <c r="C273" s="9">
        <v>50.0</v>
      </c>
      <c r="D273" s="9">
        <v>99.0</v>
      </c>
      <c r="E273" s="25"/>
      <c r="F273" s="11" t="s">
        <v>53</v>
      </c>
    </row>
    <row r="274" ht="15.75" customHeight="1">
      <c r="A274" s="19" t="s">
        <v>86</v>
      </c>
      <c r="B274" s="16" t="s">
        <v>87</v>
      </c>
      <c r="C274" s="17">
        <v>100.0</v>
      </c>
      <c r="D274" s="17">
        <v>199.0</v>
      </c>
      <c r="E274" s="25"/>
      <c r="F274" s="18"/>
    </row>
    <row r="275" ht="15.75" customHeight="1">
      <c r="A275" s="12" t="s">
        <v>86</v>
      </c>
      <c r="B275" s="8" t="s">
        <v>87</v>
      </c>
      <c r="C275" s="9">
        <v>200.0</v>
      </c>
      <c r="D275" s="9">
        <v>299.0</v>
      </c>
      <c r="E275" s="25"/>
      <c r="F275" s="11"/>
    </row>
    <row r="276" ht="15.75" customHeight="1">
      <c r="A276" s="19" t="s">
        <v>86</v>
      </c>
      <c r="B276" s="16" t="s">
        <v>87</v>
      </c>
      <c r="C276" s="17">
        <v>500.0</v>
      </c>
      <c r="D276" s="17" t="s">
        <v>54</v>
      </c>
      <c r="E276" s="25"/>
      <c r="F276" s="18"/>
    </row>
    <row r="277" ht="15.75" customHeight="1">
      <c r="A277" s="7" t="s">
        <v>88</v>
      </c>
      <c r="B277" s="8" t="s">
        <v>89</v>
      </c>
      <c r="C277" s="9">
        <v>50.0</v>
      </c>
      <c r="D277" s="9">
        <v>99.0</v>
      </c>
      <c r="E277" s="25"/>
      <c r="F277" s="11" t="s">
        <v>53</v>
      </c>
    </row>
    <row r="278" ht="15.75" customHeight="1">
      <c r="A278" s="19" t="s">
        <v>88</v>
      </c>
      <c r="B278" s="16" t="s">
        <v>89</v>
      </c>
      <c r="C278" s="17">
        <v>100.0</v>
      </c>
      <c r="D278" s="17">
        <v>199.0</v>
      </c>
      <c r="E278" s="25"/>
      <c r="F278" s="18"/>
    </row>
    <row r="279" ht="15.75" customHeight="1">
      <c r="A279" s="12" t="s">
        <v>88</v>
      </c>
      <c r="B279" s="8" t="s">
        <v>89</v>
      </c>
      <c r="C279" s="9">
        <v>200.0</v>
      </c>
      <c r="D279" s="9">
        <v>299.0</v>
      </c>
      <c r="E279" s="25"/>
      <c r="F279" s="11"/>
    </row>
    <row r="280" ht="15.75" customHeight="1">
      <c r="A280" s="19" t="s">
        <v>88</v>
      </c>
      <c r="B280" s="16" t="s">
        <v>89</v>
      </c>
      <c r="C280" s="17">
        <v>500.0</v>
      </c>
      <c r="D280" s="17" t="s">
        <v>54</v>
      </c>
      <c r="E280" s="25"/>
      <c r="F280" s="18"/>
    </row>
    <row r="281" ht="15.75" customHeight="1">
      <c r="A281" s="7" t="s">
        <v>90</v>
      </c>
      <c r="B281" s="8" t="s">
        <v>91</v>
      </c>
      <c r="C281" s="9">
        <v>50.0</v>
      </c>
      <c r="D281" s="9">
        <v>99.0</v>
      </c>
      <c r="E281" s="25"/>
      <c r="F281" s="11" t="s">
        <v>53</v>
      </c>
    </row>
    <row r="282" ht="15.75" customHeight="1">
      <c r="A282" s="19" t="s">
        <v>90</v>
      </c>
      <c r="B282" s="16" t="s">
        <v>91</v>
      </c>
      <c r="C282" s="17">
        <v>100.0</v>
      </c>
      <c r="D282" s="17">
        <v>199.0</v>
      </c>
      <c r="E282" s="25"/>
      <c r="F282" s="18"/>
    </row>
    <row r="283" ht="15.75" customHeight="1">
      <c r="A283" s="12" t="s">
        <v>90</v>
      </c>
      <c r="B283" s="8" t="s">
        <v>91</v>
      </c>
      <c r="C283" s="9">
        <v>200.0</v>
      </c>
      <c r="D283" s="9">
        <v>299.0</v>
      </c>
      <c r="E283" s="25"/>
      <c r="F283" s="11"/>
    </row>
    <row r="284" ht="15.75" customHeight="1">
      <c r="A284" s="19" t="s">
        <v>90</v>
      </c>
      <c r="B284" s="16" t="s">
        <v>91</v>
      </c>
      <c r="C284" s="17">
        <v>500.0</v>
      </c>
      <c r="D284" s="17" t="s">
        <v>54</v>
      </c>
      <c r="E284" s="25"/>
      <c r="F284" s="18"/>
    </row>
    <row r="285" ht="15.75" customHeight="1">
      <c r="A285" s="20" t="s">
        <v>92</v>
      </c>
      <c r="B285" s="16"/>
      <c r="C285" s="17">
        <v>50.0</v>
      </c>
      <c r="D285" s="17">
        <v>99.0</v>
      </c>
      <c r="E285" s="10">
        <v>5690.0</v>
      </c>
      <c r="F285" s="18"/>
    </row>
    <row r="286" ht="15.75" customHeight="1">
      <c r="A286" s="19" t="s">
        <v>93</v>
      </c>
      <c r="B286" s="16"/>
      <c r="C286" s="17">
        <v>100.0</v>
      </c>
      <c r="D286" s="17">
        <v>199.0</v>
      </c>
      <c r="E286" s="23"/>
      <c r="F286" s="18"/>
    </row>
    <row r="287" ht="15.75" customHeight="1">
      <c r="A287" s="19" t="s">
        <v>93</v>
      </c>
      <c r="B287" s="16"/>
      <c r="C287" s="17">
        <v>200.0</v>
      </c>
      <c r="D287" s="17">
        <v>299.0</v>
      </c>
      <c r="E287" s="22"/>
      <c r="F287" s="18"/>
    </row>
    <row r="288" ht="15.75" customHeight="1">
      <c r="A288" s="19" t="s">
        <v>93</v>
      </c>
      <c r="B288" s="16"/>
      <c r="C288" s="17">
        <v>500.0</v>
      </c>
      <c r="D288" s="17">
        <v>999.0</v>
      </c>
      <c r="E288" s="23"/>
      <c r="F288" s="18"/>
    </row>
    <row r="289" ht="15.75" customHeight="1">
      <c r="A289" s="20" t="s">
        <v>94</v>
      </c>
      <c r="B289" s="16"/>
      <c r="C289" s="17">
        <v>50.0</v>
      </c>
      <c r="D289" s="17">
        <v>99.0</v>
      </c>
      <c r="E289" s="10">
        <v>6790.0</v>
      </c>
      <c r="F289" s="18"/>
    </row>
    <row r="290" ht="15.75" customHeight="1">
      <c r="A290" s="19" t="s">
        <v>93</v>
      </c>
      <c r="B290" s="16"/>
      <c r="C290" s="17">
        <v>100.0</v>
      </c>
      <c r="D290" s="17">
        <v>199.0</v>
      </c>
      <c r="E290" s="13">
        <v>6490.0</v>
      </c>
      <c r="F290" s="18"/>
    </row>
    <row r="291" ht="15.75" customHeight="1">
      <c r="A291" s="19" t="s">
        <v>93</v>
      </c>
      <c r="B291" s="16"/>
      <c r="C291" s="17">
        <v>200.0</v>
      </c>
      <c r="D291" s="24">
        <v>499.0</v>
      </c>
      <c r="E291" s="10">
        <v>5790.0</v>
      </c>
      <c r="F291" s="18"/>
    </row>
    <row r="292" ht="15.75" customHeight="1">
      <c r="A292" s="19" t="s">
        <v>93</v>
      </c>
      <c r="B292" s="16"/>
      <c r="C292" s="17">
        <v>500.0</v>
      </c>
      <c r="D292" s="17">
        <v>999.0</v>
      </c>
      <c r="E292" s="13">
        <v>5590.0</v>
      </c>
      <c r="F292" s="18"/>
    </row>
    <row r="293" ht="15.75" customHeight="1">
      <c r="A293" s="21" t="s">
        <v>95</v>
      </c>
      <c r="B293" s="8"/>
      <c r="C293" s="9">
        <v>50.0</v>
      </c>
      <c r="D293" s="9">
        <v>99.0</v>
      </c>
      <c r="E293" s="28">
        <v>1999.0</v>
      </c>
      <c r="F293" s="11"/>
    </row>
    <row r="294" ht="15.75" customHeight="1">
      <c r="A294" s="21" t="s">
        <v>95</v>
      </c>
      <c r="B294" s="8"/>
      <c r="C294" s="9">
        <v>100.0</v>
      </c>
      <c r="D294" s="9">
        <v>199.0</v>
      </c>
      <c r="E294" s="28">
        <v>1490.0</v>
      </c>
      <c r="F294" s="11"/>
    </row>
    <row r="295" ht="15.75" customHeight="1">
      <c r="A295" s="21" t="s">
        <v>95</v>
      </c>
      <c r="B295" s="8"/>
      <c r="C295" s="9">
        <v>200.0</v>
      </c>
      <c r="D295" s="14">
        <v>499.0</v>
      </c>
      <c r="E295" s="28">
        <v>1290.0</v>
      </c>
      <c r="F295" s="11"/>
    </row>
    <row r="296" ht="15.75" customHeight="1">
      <c r="A296" s="21" t="s">
        <v>95</v>
      </c>
      <c r="B296" s="8"/>
      <c r="C296" s="9">
        <v>500.0</v>
      </c>
      <c r="D296" s="9">
        <v>999.0</v>
      </c>
      <c r="E296" s="28">
        <v>1090.0</v>
      </c>
      <c r="F296" s="11"/>
    </row>
    <row r="297" ht="15.75" customHeight="1">
      <c r="C297" s="9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mergeCells count="3">
    <mergeCell ref="A1:F1"/>
    <mergeCell ref="A2:F2"/>
    <mergeCell ref="A192:F19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4.0"/>
    <col customWidth="1" min="3" max="4" width="14.0"/>
    <col customWidth="1" min="5" max="5" width="22.0"/>
    <col customWidth="1" min="6" max="6" width="27.86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</row>
    <row r="4">
      <c r="A4" s="7" t="s">
        <v>8</v>
      </c>
      <c r="B4" s="8" t="s">
        <v>9</v>
      </c>
      <c r="C4" s="9">
        <v>50.0</v>
      </c>
      <c r="D4" s="9">
        <v>99.0</v>
      </c>
      <c r="E4" s="10">
        <v>13900.0</v>
      </c>
      <c r="F4" s="11"/>
    </row>
    <row r="5">
      <c r="A5" s="12" t="s">
        <v>8</v>
      </c>
      <c r="B5" s="8" t="s">
        <v>9</v>
      </c>
      <c r="C5" s="9">
        <v>100.0</v>
      </c>
      <c r="D5" s="9">
        <v>199.0</v>
      </c>
      <c r="E5" s="13">
        <v>13900.0</v>
      </c>
      <c r="F5" s="11"/>
    </row>
    <row r="6">
      <c r="A6" s="12" t="s">
        <v>8</v>
      </c>
      <c r="B6" s="8" t="s">
        <v>9</v>
      </c>
      <c r="C6" s="9">
        <v>200.0</v>
      </c>
      <c r="D6" s="14">
        <v>499.0</v>
      </c>
      <c r="E6" s="10">
        <v>12900.0</v>
      </c>
      <c r="F6" s="11"/>
    </row>
    <row r="7">
      <c r="A7" s="12" t="s">
        <v>8</v>
      </c>
      <c r="B7" s="8" t="s">
        <v>9</v>
      </c>
      <c r="C7" s="9">
        <v>500.0</v>
      </c>
      <c r="D7" s="9">
        <v>999.0</v>
      </c>
      <c r="E7" s="13">
        <v>12900.0</v>
      </c>
      <c r="F7" s="11"/>
    </row>
    <row r="8">
      <c r="A8" s="15" t="s">
        <v>10</v>
      </c>
      <c r="B8" s="16" t="s">
        <v>9</v>
      </c>
      <c r="C8" s="17">
        <v>50.0</v>
      </c>
      <c r="D8" s="17">
        <v>99.0</v>
      </c>
      <c r="E8" s="10">
        <v>13900.0</v>
      </c>
      <c r="F8" s="18"/>
    </row>
    <row r="9">
      <c r="A9" s="19" t="s">
        <v>10</v>
      </c>
      <c r="B9" s="16" t="s">
        <v>9</v>
      </c>
      <c r="C9" s="17">
        <v>100.0</v>
      </c>
      <c r="D9" s="17">
        <v>199.0</v>
      </c>
      <c r="E9" s="13">
        <v>13900.0</v>
      </c>
      <c r="F9" s="18"/>
    </row>
    <row r="10">
      <c r="A10" s="19" t="s">
        <v>10</v>
      </c>
      <c r="B10" s="16" t="s">
        <v>9</v>
      </c>
      <c r="C10" s="17">
        <v>200.0</v>
      </c>
      <c r="D10" s="14">
        <v>499.0</v>
      </c>
      <c r="E10" s="10">
        <v>12900.0</v>
      </c>
      <c r="F10" s="18"/>
    </row>
    <row r="11">
      <c r="A11" s="19" t="s">
        <v>10</v>
      </c>
      <c r="B11" s="16" t="s">
        <v>9</v>
      </c>
      <c r="C11" s="17">
        <v>500.0</v>
      </c>
      <c r="D11" s="17">
        <v>999.0</v>
      </c>
      <c r="E11" s="13">
        <v>12900.0</v>
      </c>
      <c r="F11" s="18"/>
    </row>
    <row r="12">
      <c r="A12" s="20" t="s">
        <v>11</v>
      </c>
      <c r="B12" s="16" t="s">
        <v>9</v>
      </c>
      <c r="C12" s="17">
        <v>50.0</v>
      </c>
      <c r="D12" s="17">
        <v>99.0</v>
      </c>
      <c r="E12" s="10">
        <v>17999.0</v>
      </c>
      <c r="F12" s="18"/>
    </row>
    <row r="13">
      <c r="A13" s="20" t="s">
        <v>11</v>
      </c>
      <c r="B13" s="16" t="s">
        <v>9</v>
      </c>
      <c r="C13" s="17">
        <v>100.0</v>
      </c>
      <c r="D13" s="17">
        <v>199.0</v>
      </c>
      <c r="E13" s="13">
        <v>16999.0</v>
      </c>
      <c r="F13" s="18"/>
    </row>
    <row r="14">
      <c r="A14" s="20" t="s">
        <v>11</v>
      </c>
      <c r="B14" s="16" t="s">
        <v>9</v>
      </c>
      <c r="C14" s="17">
        <v>200.0</v>
      </c>
      <c r="D14" s="14">
        <v>499.0</v>
      </c>
      <c r="E14" s="10">
        <v>15999.0</v>
      </c>
      <c r="F14" s="18"/>
    </row>
    <row r="15">
      <c r="A15" s="20" t="s">
        <v>11</v>
      </c>
      <c r="B15" s="16" t="s">
        <v>9</v>
      </c>
      <c r="C15" s="17">
        <v>500.0</v>
      </c>
      <c r="D15" s="17">
        <v>999.0</v>
      </c>
      <c r="E15" s="13">
        <v>14999.0</v>
      </c>
      <c r="F15" s="18"/>
    </row>
    <row r="16">
      <c r="A16" s="21" t="s">
        <v>12</v>
      </c>
      <c r="B16" s="8" t="s">
        <v>13</v>
      </c>
      <c r="C16" s="9">
        <v>50.0</v>
      </c>
      <c r="D16" s="9">
        <v>99.0</v>
      </c>
      <c r="E16" s="10">
        <v>13999.0</v>
      </c>
      <c r="F16" s="11"/>
    </row>
    <row r="17">
      <c r="A17" s="21" t="s">
        <v>12</v>
      </c>
      <c r="B17" s="8" t="s">
        <v>13</v>
      </c>
      <c r="C17" s="9">
        <v>100.0</v>
      </c>
      <c r="D17" s="9">
        <v>199.0</v>
      </c>
      <c r="E17" s="13">
        <v>13999.0</v>
      </c>
      <c r="F17" s="11"/>
    </row>
    <row r="18">
      <c r="A18" s="21" t="s">
        <v>12</v>
      </c>
      <c r="B18" s="8" t="s">
        <v>13</v>
      </c>
      <c r="C18" s="9">
        <v>200.0</v>
      </c>
      <c r="D18" s="14">
        <v>499.0</v>
      </c>
      <c r="E18" s="10">
        <v>12999.0</v>
      </c>
      <c r="F18" s="11"/>
    </row>
    <row r="19">
      <c r="A19" s="21" t="s">
        <v>12</v>
      </c>
      <c r="B19" s="8" t="s">
        <v>13</v>
      </c>
      <c r="C19" s="9">
        <v>500.0</v>
      </c>
      <c r="D19" s="9">
        <v>999.0</v>
      </c>
      <c r="E19" s="13">
        <v>12999.0</v>
      </c>
      <c r="F19" s="11"/>
    </row>
    <row r="20">
      <c r="A20" s="15" t="s">
        <v>14</v>
      </c>
      <c r="B20" s="16"/>
      <c r="C20" s="17">
        <v>50.0</v>
      </c>
      <c r="D20" s="17">
        <v>99.0</v>
      </c>
      <c r="E20" s="10">
        <v>19999.0</v>
      </c>
      <c r="F20" s="18"/>
    </row>
    <row r="21">
      <c r="A21" s="19" t="s">
        <v>14</v>
      </c>
      <c r="B21" s="16"/>
      <c r="C21" s="17">
        <v>100.0</v>
      </c>
      <c r="D21" s="17">
        <v>199.0</v>
      </c>
      <c r="E21" s="13">
        <v>19999.0</v>
      </c>
      <c r="F21" s="18"/>
    </row>
    <row r="22">
      <c r="A22" s="19" t="s">
        <v>14</v>
      </c>
      <c r="B22" s="16"/>
      <c r="C22" s="17">
        <v>200.0</v>
      </c>
      <c r="D22" s="14">
        <v>499.0</v>
      </c>
      <c r="E22" s="10">
        <v>18999.0</v>
      </c>
      <c r="F22" s="18"/>
    </row>
    <row r="23">
      <c r="A23" s="19" t="s">
        <v>14</v>
      </c>
      <c r="B23" s="16"/>
      <c r="C23" s="17">
        <v>500.0</v>
      </c>
      <c r="D23" s="17">
        <v>999.0</v>
      </c>
      <c r="E23" s="13">
        <v>17999.0</v>
      </c>
      <c r="F23" s="18"/>
    </row>
    <row r="24">
      <c r="A24" s="7" t="s">
        <v>15</v>
      </c>
      <c r="B24" s="8" t="s">
        <v>9</v>
      </c>
      <c r="C24" s="9">
        <v>50.0</v>
      </c>
      <c r="D24" s="9">
        <v>99.0</v>
      </c>
      <c r="E24" s="10">
        <v>8999.0</v>
      </c>
      <c r="F24" s="11"/>
    </row>
    <row r="25" ht="15.75" customHeight="1">
      <c r="A25" s="12" t="s">
        <v>15</v>
      </c>
      <c r="B25" s="8" t="s">
        <v>9</v>
      </c>
      <c r="C25" s="9">
        <v>100.0</v>
      </c>
      <c r="D25" s="9">
        <v>199.0</v>
      </c>
      <c r="E25" s="13">
        <v>7999.0</v>
      </c>
      <c r="F25" s="11"/>
    </row>
    <row r="26" ht="15.75" customHeight="1">
      <c r="A26" s="12" t="s">
        <v>15</v>
      </c>
      <c r="B26" s="8" t="s">
        <v>9</v>
      </c>
      <c r="C26" s="9">
        <v>200.0</v>
      </c>
      <c r="D26" s="14">
        <v>499.0</v>
      </c>
      <c r="E26" s="10">
        <v>7999.0</v>
      </c>
      <c r="F26" s="11"/>
    </row>
    <row r="27" ht="15.75" customHeight="1">
      <c r="A27" s="12" t="s">
        <v>15</v>
      </c>
      <c r="B27" s="8" t="s">
        <v>9</v>
      </c>
      <c r="C27" s="9">
        <v>500.0</v>
      </c>
      <c r="D27" s="9">
        <v>999.0</v>
      </c>
      <c r="E27" s="13">
        <v>7999.0</v>
      </c>
      <c r="F27" s="11"/>
    </row>
    <row r="28" ht="15.75" customHeight="1">
      <c r="A28" s="21" t="s">
        <v>16</v>
      </c>
      <c r="B28" s="8"/>
      <c r="C28" s="9">
        <v>50.0</v>
      </c>
      <c r="D28" s="9">
        <v>99.0</v>
      </c>
      <c r="E28" s="22">
        <v>14999.0</v>
      </c>
      <c r="F28" s="11"/>
    </row>
    <row r="29" ht="15.75" customHeight="1">
      <c r="A29" s="12" t="s">
        <v>17</v>
      </c>
      <c r="B29" s="8"/>
      <c r="C29" s="9">
        <v>100.0</v>
      </c>
      <c r="D29" s="9">
        <v>199.0</v>
      </c>
      <c r="E29" s="13">
        <v>14999.0</v>
      </c>
      <c r="F29" s="11"/>
    </row>
    <row r="30" ht="15.75" customHeight="1">
      <c r="A30" s="12" t="s">
        <v>17</v>
      </c>
      <c r="B30" s="8"/>
      <c r="C30" s="9">
        <v>200.0</v>
      </c>
      <c r="D30" s="14">
        <v>499.0</v>
      </c>
      <c r="E30" s="10">
        <v>14999.0</v>
      </c>
      <c r="F30" s="11"/>
    </row>
    <row r="31" ht="15.75" customHeight="1">
      <c r="A31" s="12" t="s">
        <v>17</v>
      </c>
      <c r="B31" s="8"/>
      <c r="C31" s="9">
        <v>500.0</v>
      </c>
      <c r="D31" s="9">
        <v>999.0</v>
      </c>
      <c r="E31" s="13">
        <v>13999.0</v>
      </c>
      <c r="F31" s="11"/>
    </row>
    <row r="32" ht="15.75" customHeight="1">
      <c r="A32" s="15" t="s">
        <v>18</v>
      </c>
      <c r="B32" s="16"/>
      <c r="C32" s="17">
        <v>50.0</v>
      </c>
      <c r="D32" s="17">
        <v>99.0</v>
      </c>
      <c r="E32" s="10">
        <v>6999.0</v>
      </c>
      <c r="F32" s="18"/>
    </row>
    <row r="33" ht="15.75" customHeight="1">
      <c r="A33" s="19" t="s">
        <v>18</v>
      </c>
      <c r="B33" s="16"/>
      <c r="C33" s="17">
        <v>100.0</v>
      </c>
      <c r="D33" s="17">
        <v>199.0</v>
      </c>
      <c r="E33" s="13">
        <v>6999.0</v>
      </c>
      <c r="F33" s="18"/>
    </row>
    <row r="34" ht="15.75" customHeight="1">
      <c r="A34" s="19" t="s">
        <v>18</v>
      </c>
      <c r="B34" s="16"/>
      <c r="C34" s="17">
        <v>200.0</v>
      </c>
      <c r="D34" s="14">
        <v>499.0</v>
      </c>
      <c r="E34" s="10">
        <v>5999.0</v>
      </c>
      <c r="F34" s="18"/>
    </row>
    <row r="35" ht="15.75" customHeight="1">
      <c r="A35" s="19" t="s">
        <v>18</v>
      </c>
      <c r="B35" s="16"/>
      <c r="C35" s="17">
        <v>500.0</v>
      </c>
      <c r="D35" s="17">
        <v>999.0</v>
      </c>
      <c r="E35" s="13">
        <v>5999.0</v>
      </c>
      <c r="F35" s="18"/>
    </row>
    <row r="36" ht="15.75" customHeight="1">
      <c r="A36" s="7" t="s">
        <v>19</v>
      </c>
      <c r="B36" s="8"/>
      <c r="C36" s="9">
        <v>50.0</v>
      </c>
      <c r="D36" s="9">
        <v>99.0</v>
      </c>
      <c r="E36" s="10">
        <v>7999.0</v>
      </c>
      <c r="F36" s="11"/>
    </row>
    <row r="37" ht="15.75" customHeight="1">
      <c r="A37" s="12" t="s">
        <v>19</v>
      </c>
      <c r="B37" s="8"/>
      <c r="C37" s="9">
        <v>100.0</v>
      </c>
      <c r="D37" s="9">
        <v>199.0</v>
      </c>
      <c r="E37" s="13">
        <v>7999.0</v>
      </c>
      <c r="F37" s="11"/>
    </row>
    <row r="38" ht="15.75" customHeight="1">
      <c r="A38" s="12" t="s">
        <v>19</v>
      </c>
      <c r="B38" s="8"/>
      <c r="C38" s="9">
        <v>200.0</v>
      </c>
      <c r="D38" s="14">
        <v>499.0</v>
      </c>
      <c r="E38" s="10">
        <v>6999.0</v>
      </c>
      <c r="F38" s="11"/>
    </row>
    <row r="39" ht="15.75" customHeight="1">
      <c r="A39" s="12" t="s">
        <v>19</v>
      </c>
      <c r="B39" s="8"/>
      <c r="C39" s="9">
        <v>500.0</v>
      </c>
      <c r="D39" s="9">
        <v>999.0</v>
      </c>
      <c r="E39" s="13">
        <v>6999.0</v>
      </c>
      <c r="F39" s="11"/>
    </row>
    <row r="40" ht="15.75" customHeight="1">
      <c r="A40" s="15" t="s">
        <v>20</v>
      </c>
      <c r="B40" s="16"/>
      <c r="C40" s="17">
        <v>50.0</v>
      </c>
      <c r="D40" s="17">
        <v>99.0</v>
      </c>
      <c r="E40" s="22">
        <v>11990.0</v>
      </c>
      <c r="F40" s="18"/>
    </row>
    <row r="41" ht="15.75" customHeight="1">
      <c r="A41" s="19" t="s">
        <v>20</v>
      </c>
      <c r="B41" s="16"/>
      <c r="C41" s="17">
        <v>100.0</v>
      </c>
      <c r="D41" s="17">
        <v>199.0</v>
      </c>
      <c r="E41" s="23">
        <v>11990.0</v>
      </c>
      <c r="F41" s="18"/>
    </row>
    <row r="42" ht="15.75" customHeight="1">
      <c r="A42" s="19" t="s">
        <v>20</v>
      </c>
      <c r="B42" s="16"/>
      <c r="C42" s="17">
        <v>200.0</v>
      </c>
      <c r="D42" s="14">
        <v>499.0</v>
      </c>
      <c r="E42" s="10">
        <v>10900.0</v>
      </c>
      <c r="F42" s="18"/>
    </row>
    <row r="43" ht="15.75" customHeight="1">
      <c r="A43" s="19" t="s">
        <v>20</v>
      </c>
      <c r="B43" s="16"/>
      <c r="C43" s="17">
        <v>500.0</v>
      </c>
      <c r="D43" s="17">
        <v>999.0</v>
      </c>
      <c r="E43" s="13">
        <v>10900.0</v>
      </c>
      <c r="F43" s="18"/>
    </row>
    <row r="44" ht="15.75" customHeight="1">
      <c r="A44" s="7" t="s">
        <v>21</v>
      </c>
      <c r="B44" s="8"/>
      <c r="C44" s="9">
        <v>50.0</v>
      </c>
      <c r="D44" s="9">
        <v>99.0</v>
      </c>
      <c r="E44" s="22">
        <v>18900.0</v>
      </c>
      <c r="F44" s="11"/>
    </row>
    <row r="45" ht="15.75" customHeight="1">
      <c r="A45" s="12" t="s">
        <v>21</v>
      </c>
      <c r="B45" s="8"/>
      <c r="C45" s="9">
        <v>100.0</v>
      </c>
      <c r="D45" s="9">
        <v>199.0</v>
      </c>
      <c r="E45" s="23">
        <v>18900.0</v>
      </c>
      <c r="F45" s="11"/>
    </row>
    <row r="46" ht="15.75" customHeight="1">
      <c r="A46" s="12" t="s">
        <v>21</v>
      </c>
      <c r="B46" s="8"/>
      <c r="C46" s="9">
        <v>200.0</v>
      </c>
      <c r="D46" s="14">
        <v>499.0</v>
      </c>
      <c r="E46" s="10">
        <v>17900.0</v>
      </c>
      <c r="F46" s="11"/>
    </row>
    <row r="47" ht="15.75" customHeight="1">
      <c r="A47" s="12" t="s">
        <v>21</v>
      </c>
      <c r="B47" s="8"/>
      <c r="C47" s="9">
        <v>500.0</v>
      </c>
      <c r="D47" s="9">
        <v>999.0</v>
      </c>
      <c r="E47" s="13">
        <v>17900.0</v>
      </c>
      <c r="F47" s="11"/>
    </row>
    <row r="48" ht="15.75" customHeight="1">
      <c r="A48" s="15" t="s">
        <v>22</v>
      </c>
      <c r="B48" s="16"/>
      <c r="C48" s="17">
        <v>50.0</v>
      </c>
      <c r="D48" s="17">
        <v>99.0</v>
      </c>
      <c r="E48" s="10">
        <v>12900.0</v>
      </c>
      <c r="F48" s="18"/>
    </row>
    <row r="49" ht="15.75" customHeight="1">
      <c r="A49" s="19" t="s">
        <v>22</v>
      </c>
      <c r="B49" s="16"/>
      <c r="C49" s="17">
        <v>100.0</v>
      </c>
      <c r="D49" s="17">
        <v>199.0</v>
      </c>
      <c r="E49" s="13">
        <v>12900.0</v>
      </c>
      <c r="F49" s="18"/>
    </row>
    <row r="50" ht="15.75" customHeight="1">
      <c r="A50" s="19" t="s">
        <v>22</v>
      </c>
      <c r="B50" s="16"/>
      <c r="C50" s="17">
        <v>200.0</v>
      </c>
      <c r="D50" s="14">
        <v>499.0</v>
      </c>
      <c r="E50" s="10">
        <v>11900.0</v>
      </c>
      <c r="F50" s="18"/>
    </row>
    <row r="51" ht="15.75" customHeight="1">
      <c r="A51" s="19" t="s">
        <v>22</v>
      </c>
      <c r="B51" s="16"/>
      <c r="C51" s="17">
        <v>500.0</v>
      </c>
      <c r="D51" s="17">
        <v>999.0</v>
      </c>
      <c r="E51" s="23">
        <v>10900.0</v>
      </c>
      <c r="F51" s="18"/>
    </row>
    <row r="52" ht="15.75" customHeight="1">
      <c r="A52" s="7" t="s">
        <v>23</v>
      </c>
      <c r="B52" s="8"/>
      <c r="C52" s="9">
        <v>50.0</v>
      </c>
      <c r="D52" s="9">
        <v>99.0</v>
      </c>
      <c r="E52" s="22">
        <v>12900.0</v>
      </c>
      <c r="F52" s="11"/>
    </row>
    <row r="53" ht="15.75" customHeight="1">
      <c r="A53" s="12" t="s">
        <v>23</v>
      </c>
      <c r="B53" s="8"/>
      <c r="C53" s="9">
        <v>100.0</v>
      </c>
      <c r="D53" s="9">
        <v>199.0</v>
      </c>
      <c r="E53" s="13">
        <v>11900.0</v>
      </c>
      <c r="F53" s="11"/>
    </row>
    <row r="54" ht="15.75" customHeight="1">
      <c r="A54" s="12" t="s">
        <v>23</v>
      </c>
      <c r="B54" s="8"/>
      <c r="C54" s="9">
        <v>200.0</v>
      </c>
      <c r="D54" s="14">
        <v>499.0</v>
      </c>
      <c r="E54" s="10">
        <v>11900.0</v>
      </c>
      <c r="F54" s="11"/>
    </row>
    <row r="55" ht="15.75" customHeight="1">
      <c r="A55" s="12" t="s">
        <v>23</v>
      </c>
      <c r="B55" s="8"/>
      <c r="C55" s="9">
        <v>500.0</v>
      </c>
      <c r="D55" s="9">
        <v>999.0</v>
      </c>
      <c r="E55" s="13">
        <v>10900.0</v>
      </c>
      <c r="F55" s="11"/>
    </row>
    <row r="56" ht="15.75" customHeight="1">
      <c r="A56" s="15" t="s">
        <v>24</v>
      </c>
      <c r="B56" s="16"/>
      <c r="C56" s="17">
        <v>50.0</v>
      </c>
      <c r="D56" s="17">
        <v>99.0</v>
      </c>
      <c r="E56" s="22">
        <v>13900.0</v>
      </c>
      <c r="F56" s="18"/>
    </row>
    <row r="57" ht="15.75" customHeight="1">
      <c r="A57" s="19" t="s">
        <v>24</v>
      </c>
      <c r="B57" s="16"/>
      <c r="C57" s="17">
        <v>100.0</v>
      </c>
      <c r="D57" s="17">
        <v>199.0</v>
      </c>
      <c r="E57" s="23">
        <v>13900.0</v>
      </c>
      <c r="F57" s="18"/>
    </row>
    <row r="58" ht="15.75" customHeight="1">
      <c r="A58" s="19" t="s">
        <v>24</v>
      </c>
      <c r="B58" s="16"/>
      <c r="C58" s="17">
        <v>200.0</v>
      </c>
      <c r="D58" s="14">
        <v>499.0</v>
      </c>
      <c r="E58" s="10">
        <v>12990.0</v>
      </c>
      <c r="F58" s="18"/>
    </row>
    <row r="59" ht="15.75" customHeight="1">
      <c r="A59" s="19" t="s">
        <v>24</v>
      </c>
      <c r="B59" s="16"/>
      <c r="C59" s="17">
        <v>500.0</v>
      </c>
      <c r="D59" s="17">
        <v>999.0</v>
      </c>
      <c r="E59" s="13">
        <v>12990.0</v>
      </c>
      <c r="F59" s="18"/>
    </row>
    <row r="60" ht="15.75" customHeight="1">
      <c r="A60" s="7" t="s">
        <v>25</v>
      </c>
      <c r="B60" s="8"/>
      <c r="C60" s="9">
        <v>50.0</v>
      </c>
      <c r="D60" s="9">
        <v>99.0</v>
      </c>
      <c r="E60" s="22">
        <v>10900.0</v>
      </c>
      <c r="F60" s="11"/>
    </row>
    <row r="61" ht="15.75" customHeight="1">
      <c r="A61" s="12" t="s">
        <v>25</v>
      </c>
      <c r="B61" s="8"/>
      <c r="C61" s="9">
        <v>100.0</v>
      </c>
      <c r="D61" s="9">
        <v>199.0</v>
      </c>
      <c r="E61" s="13">
        <v>9900.0</v>
      </c>
      <c r="F61" s="11"/>
    </row>
    <row r="62" ht="15.75" customHeight="1">
      <c r="A62" s="12" t="s">
        <v>25</v>
      </c>
      <c r="B62" s="8"/>
      <c r="C62" s="9">
        <v>200.0</v>
      </c>
      <c r="D62" s="14">
        <v>499.0</v>
      </c>
      <c r="E62" s="10">
        <v>9900.0</v>
      </c>
      <c r="F62" s="11"/>
    </row>
    <row r="63" ht="15.75" customHeight="1">
      <c r="A63" s="12" t="s">
        <v>25</v>
      </c>
      <c r="B63" s="8"/>
      <c r="C63" s="9">
        <v>500.0</v>
      </c>
      <c r="D63" s="9">
        <v>999.0</v>
      </c>
      <c r="E63" s="13">
        <v>9900.0</v>
      </c>
      <c r="F63" s="11"/>
    </row>
    <row r="64" ht="15.75" customHeight="1">
      <c r="A64" s="15" t="s">
        <v>26</v>
      </c>
      <c r="B64" s="16"/>
      <c r="C64" s="17">
        <v>50.0</v>
      </c>
      <c r="D64" s="17">
        <v>99.0</v>
      </c>
      <c r="E64" s="22">
        <v>10900.0</v>
      </c>
      <c r="F64" s="18"/>
    </row>
    <row r="65" ht="15.75" customHeight="1">
      <c r="A65" s="19" t="s">
        <v>26</v>
      </c>
      <c r="B65" s="16"/>
      <c r="C65" s="17">
        <v>100.0</v>
      </c>
      <c r="D65" s="17">
        <v>199.0</v>
      </c>
      <c r="E65" s="13">
        <v>9900.0</v>
      </c>
      <c r="F65" s="18"/>
    </row>
    <row r="66" ht="15.75" customHeight="1">
      <c r="A66" s="19" t="s">
        <v>26</v>
      </c>
      <c r="B66" s="16"/>
      <c r="C66" s="17">
        <v>200.0</v>
      </c>
      <c r="D66" s="14">
        <v>499.0</v>
      </c>
      <c r="E66" s="10">
        <v>9900.0</v>
      </c>
      <c r="F66" s="18"/>
    </row>
    <row r="67" ht="15.75" customHeight="1">
      <c r="A67" s="19" t="s">
        <v>26</v>
      </c>
      <c r="B67" s="16"/>
      <c r="C67" s="17">
        <v>500.0</v>
      </c>
      <c r="D67" s="17">
        <v>999.0</v>
      </c>
      <c r="E67" s="13">
        <v>9900.0</v>
      </c>
      <c r="F67" s="18"/>
    </row>
    <row r="68" ht="15.75" customHeight="1">
      <c r="A68" s="7" t="s">
        <v>27</v>
      </c>
      <c r="B68" s="8"/>
      <c r="C68" s="9">
        <v>50.0</v>
      </c>
      <c r="D68" s="9">
        <v>99.0</v>
      </c>
      <c r="E68" s="10">
        <v>27990.0</v>
      </c>
      <c r="F68" s="11"/>
    </row>
    <row r="69" ht="15.75" customHeight="1">
      <c r="A69" s="12" t="s">
        <v>27</v>
      </c>
      <c r="B69" s="8"/>
      <c r="C69" s="9">
        <v>100.0</v>
      </c>
      <c r="D69" s="9">
        <v>199.0</v>
      </c>
      <c r="E69" s="23">
        <v>25999.0</v>
      </c>
      <c r="F69" s="11"/>
    </row>
    <row r="70" ht="15.75" customHeight="1">
      <c r="A70" s="12" t="s">
        <v>27</v>
      </c>
      <c r="B70" s="8"/>
      <c r="C70" s="9">
        <v>200.0</v>
      </c>
      <c r="D70" s="14">
        <v>499.0</v>
      </c>
      <c r="E70" s="22">
        <v>25999.0</v>
      </c>
      <c r="F70" s="11"/>
    </row>
    <row r="71" ht="15.75" customHeight="1">
      <c r="A71" s="12" t="s">
        <v>27</v>
      </c>
      <c r="B71" s="8"/>
      <c r="C71" s="9">
        <v>500.0</v>
      </c>
      <c r="D71" s="9">
        <v>999.0</v>
      </c>
      <c r="E71" s="13">
        <v>24990.0</v>
      </c>
      <c r="F71" s="11"/>
    </row>
    <row r="72" ht="15.75" customHeight="1">
      <c r="A72" s="15" t="s">
        <v>28</v>
      </c>
      <c r="B72" s="16"/>
      <c r="C72" s="17">
        <v>50.0</v>
      </c>
      <c r="D72" s="17">
        <v>99.0</v>
      </c>
      <c r="E72" s="10">
        <v>264900.0</v>
      </c>
      <c r="F72" s="18"/>
    </row>
    <row r="73" ht="15.75" customHeight="1">
      <c r="A73" s="19" t="s">
        <v>28</v>
      </c>
      <c r="B73" s="16"/>
      <c r="C73" s="17">
        <v>100.0</v>
      </c>
      <c r="D73" s="17">
        <v>199.0</v>
      </c>
      <c r="E73" s="10">
        <v>247900.0</v>
      </c>
      <c r="F73" s="18"/>
    </row>
    <row r="74" ht="15.75" customHeight="1">
      <c r="A74" s="19" t="s">
        <v>28</v>
      </c>
      <c r="B74" s="16"/>
      <c r="C74" s="17">
        <v>200.0</v>
      </c>
      <c r="D74" s="24">
        <v>499.0</v>
      </c>
      <c r="E74" s="10">
        <v>247900.0</v>
      </c>
      <c r="F74" s="18"/>
    </row>
    <row r="75" ht="15.75" customHeight="1">
      <c r="A75" s="19" t="s">
        <v>28</v>
      </c>
      <c r="B75" s="16"/>
      <c r="C75" s="17">
        <v>500.0</v>
      </c>
      <c r="D75" s="17">
        <v>999.0</v>
      </c>
      <c r="E75" s="10">
        <v>245990.0</v>
      </c>
      <c r="F75" s="18"/>
    </row>
    <row r="76" ht="15.75" customHeight="1">
      <c r="A76" s="7" t="s">
        <v>29</v>
      </c>
      <c r="B76" s="8"/>
      <c r="C76" s="9">
        <v>50.0</v>
      </c>
      <c r="D76" s="9">
        <v>99.0</v>
      </c>
      <c r="E76" s="22">
        <v>11900.0</v>
      </c>
      <c r="F76" s="11"/>
    </row>
    <row r="77" ht="15.75" customHeight="1">
      <c r="A77" s="12" t="s">
        <v>29</v>
      </c>
      <c r="B77" s="8"/>
      <c r="C77" s="9">
        <v>100.0</v>
      </c>
      <c r="D77" s="9">
        <v>199.0</v>
      </c>
      <c r="E77" s="23">
        <v>11900.0</v>
      </c>
      <c r="F77" s="11"/>
    </row>
    <row r="78" ht="15.75" customHeight="1">
      <c r="A78" s="12" t="s">
        <v>29</v>
      </c>
      <c r="B78" s="8"/>
      <c r="C78" s="9">
        <v>200.0</v>
      </c>
      <c r="D78" s="14">
        <v>499.0</v>
      </c>
      <c r="E78" s="10">
        <v>10900.0</v>
      </c>
      <c r="F78" s="11"/>
    </row>
    <row r="79" ht="15.75" customHeight="1">
      <c r="A79" s="12" t="s">
        <v>29</v>
      </c>
      <c r="B79" s="8"/>
      <c r="C79" s="9">
        <v>500.0</v>
      </c>
      <c r="D79" s="9">
        <v>999.0</v>
      </c>
      <c r="E79" s="13">
        <v>10900.0</v>
      </c>
      <c r="F79" s="11"/>
    </row>
    <row r="80" ht="15.75" customHeight="1">
      <c r="A80" s="15" t="s">
        <v>30</v>
      </c>
      <c r="B80" s="16"/>
      <c r="C80" s="17">
        <v>50.0</v>
      </c>
      <c r="D80" s="17">
        <v>99.0</v>
      </c>
      <c r="E80" s="10">
        <v>13900.0</v>
      </c>
      <c r="F80" s="18"/>
    </row>
    <row r="81" ht="15.75" customHeight="1">
      <c r="A81" s="19" t="s">
        <v>30</v>
      </c>
      <c r="B81" s="16"/>
      <c r="C81" s="17">
        <v>100.0</v>
      </c>
      <c r="D81" s="17">
        <v>199.0</v>
      </c>
      <c r="E81" s="23">
        <v>12900.0</v>
      </c>
      <c r="F81" s="18"/>
    </row>
    <row r="82" ht="15.75" customHeight="1">
      <c r="A82" s="19" t="s">
        <v>30</v>
      </c>
      <c r="B82" s="16"/>
      <c r="C82" s="17">
        <v>200.0</v>
      </c>
      <c r="D82" s="24">
        <v>499.0</v>
      </c>
      <c r="E82" s="22">
        <v>12900.0</v>
      </c>
      <c r="F82" s="18"/>
    </row>
    <row r="83" ht="15.75" customHeight="1">
      <c r="A83" s="19" t="s">
        <v>30</v>
      </c>
      <c r="B83" s="16"/>
      <c r="C83" s="17">
        <v>500.0</v>
      </c>
      <c r="D83" s="17">
        <v>999.0</v>
      </c>
      <c r="E83" s="13">
        <v>11900.0</v>
      </c>
      <c r="F83" s="18"/>
    </row>
    <row r="84" ht="15.75" customHeight="1">
      <c r="A84" s="21" t="s">
        <v>31</v>
      </c>
      <c r="B84" s="8"/>
      <c r="C84" s="9">
        <v>50.0</v>
      </c>
      <c r="D84" s="9">
        <v>99.0</v>
      </c>
      <c r="E84" s="22">
        <v>17900.0</v>
      </c>
      <c r="F84" s="11"/>
    </row>
    <row r="85" ht="15.75" customHeight="1">
      <c r="A85" s="21" t="s">
        <v>31</v>
      </c>
      <c r="B85" s="8"/>
      <c r="C85" s="9">
        <v>100.0</v>
      </c>
      <c r="D85" s="9">
        <v>199.0</v>
      </c>
      <c r="E85" s="13">
        <v>16990.0</v>
      </c>
      <c r="F85" s="11"/>
    </row>
    <row r="86" ht="15.75" customHeight="1">
      <c r="A86" s="21" t="s">
        <v>31</v>
      </c>
      <c r="B86" s="8"/>
      <c r="C86" s="9">
        <v>200.0</v>
      </c>
      <c r="D86" s="14">
        <v>499.0</v>
      </c>
      <c r="E86" s="10">
        <v>15990.0</v>
      </c>
      <c r="F86" s="11"/>
    </row>
    <row r="87" ht="15.75" customHeight="1">
      <c r="A87" s="21" t="s">
        <v>31</v>
      </c>
      <c r="B87" s="8"/>
      <c r="C87" s="9">
        <v>500.0</v>
      </c>
      <c r="D87" s="9">
        <v>999.0</v>
      </c>
      <c r="E87" s="13">
        <v>15990.0</v>
      </c>
      <c r="F87" s="11"/>
    </row>
    <row r="88" ht="15.75" customHeight="1">
      <c r="A88" s="15" t="s">
        <v>32</v>
      </c>
      <c r="B88" s="16"/>
      <c r="C88" s="17">
        <v>50.0</v>
      </c>
      <c r="D88" s="17">
        <v>99.0</v>
      </c>
      <c r="E88" s="22">
        <v>14900.0</v>
      </c>
      <c r="F88" s="18"/>
    </row>
    <row r="89" ht="15.75" customHeight="1">
      <c r="A89" s="19" t="s">
        <v>32</v>
      </c>
      <c r="B89" s="16"/>
      <c r="C89" s="17">
        <v>100.0</v>
      </c>
      <c r="D89" s="17">
        <v>199.0</v>
      </c>
      <c r="E89" s="23">
        <v>14900.0</v>
      </c>
      <c r="F89" s="18"/>
    </row>
    <row r="90" ht="15.75" customHeight="1">
      <c r="A90" s="19" t="s">
        <v>32</v>
      </c>
      <c r="B90" s="16"/>
      <c r="C90" s="17">
        <v>200.0</v>
      </c>
      <c r="D90" s="24">
        <v>499.0</v>
      </c>
      <c r="E90" s="22">
        <v>14900.0</v>
      </c>
      <c r="F90" s="18"/>
    </row>
    <row r="91" ht="15.75" customHeight="1">
      <c r="A91" s="19" t="s">
        <v>32</v>
      </c>
      <c r="B91" s="16"/>
      <c r="C91" s="17">
        <v>500.0</v>
      </c>
      <c r="D91" s="17">
        <v>999.0</v>
      </c>
      <c r="E91" s="23">
        <v>14900.0</v>
      </c>
      <c r="F91" s="18"/>
    </row>
    <row r="92" ht="15.75" customHeight="1">
      <c r="A92" s="7" t="s">
        <v>33</v>
      </c>
      <c r="B92" s="8"/>
      <c r="C92" s="9">
        <v>50.0</v>
      </c>
      <c r="D92" s="9">
        <v>99.0</v>
      </c>
      <c r="E92" s="22">
        <v>11900.0</v>
      </c>
      <c r="F92" s="11"/>
    </row>
    <row r="93" ht="15.75" customHeight="1">
      <c r="A93" s="12" t="s">
        <v>33</v>
      </c>
      <c r="B93" s="8"/>
      <c r="C93" s="9">
        <v>100.0</v>
      </c>
      <c r="D93" s="9">
        <v>199.0</v>
      </c>
      <c r="E93" s="23">
        <v>11900.0</v>
      </c>
      <c r="F93" s="11"/>
    </row>
    <row r="94" ht="15.75" customHeight="1">
      <c r="A94" s="12" t="s">
        <v>33</v>
      </c>
      <c r="B94" s="8"/>
      <c r="C94" s="9">
        <v>200.0</v>
      </c>
      <c r="D94" s="14">
        <v>499.0</v>
      </c>
      <c r="E94" s="10">
        <v>10990.0</v>
      </c>
      <c r="F94" s="11"/>
    </row>
    <row r="95" ht="15.75" customHeight="1">
      <c r="A95" s="12" t="s">
        <v>33</v>
      </c>
      <c r="B95" s="8"/>
      <c r="C95" s="9">
        <v>500.0</v>
      </c>
      <c r="D95" s="9">
        <v>999.0</v>
      </c>
      <c r="E95" s="13">
        <v>10990.0</v>
      </c>
      <c r="F95" s="11"/>
    </row>
    <row r="96" ht="15.75" customHeight="1">
      <c r="A96" s="15" t="s">
        <v>34</v>
      </c>
      <c r="B96" s="16"/>
      <c r="C96" s="17">
        <v>50.0</v>
      </c>
      <c r="D96" s="17">
        <v>99.0</v>
      </c>
      <c r="E96" s="22">
        <v>11900.0</v>
      </c>
      <c r="F96" s="18"/>
    </row>
    <row r="97" ht="15.75" customHeight="1">
      <c r="A97" s="19" t="s">
        <v>34</v>
      </c>
      <c r="B97" s="16"/>
      <c r="C97" s="17">
        <v>100.0</v>
      </c>
      <c r="D97" s="17">
        <v>199.0</v>
      </c>
      <c r="E97" s="23">
        <v>11900.0</v>
      </c>
      <c r="F97" s="18"/>
    </row>
    <row r="98" ht="15.75" customHeight="1">
      <c r="A98" s="19" t="s">
        <v>34</v>
      </c>
      <c r="B98" s="16"/>
      <c r="C98" s="17">
        <v>200.0</v>
      </c>
      <c r="D98" s="24">
        <v>499.0</v>
      </c>
      <c r="E98" s="10">
        <v>10990.0</v>
      </c>
      <c r="F98" s="18"/>
    </row>
    <row r="99" ht="15.75" customHeight="1">
      <c r="A99" s="19" t="s">
        <v>34</v>
      </c>
      <c r="B99" s="16"/>
      <c r="C99" s="17">
        <v>500.0</v>
      </c>
      <c r="D99" s="17">
        <v>999.0</v>
      </c>
      <c r="E99" s="13">
        <v>10990.0</v>
      </c>
      <c r="F99" s="18"/>
    </row>
    <row r="100" ht="15.75" customHeight="1">
      <c r="A100" s="7" t="s">
        <v>35</v>
      </c>
      <c r="B100" s="8"/>
      <c r="C100" s="9">
        <v>50.0</v>
      </c>
      <c r="D100" s="9">
        <v>99.0</v>
      </c>
      <c r="E100" s="22">
        <v>10900.0</v>
      </c>
      <c r="F100" s="11"/>
    </row>
    <row r="101" ht="15.75" customHeight="1">
      <c r="A101" s="12" t="s">
        <v>35</v>
      </c>
      <c r="B101" s="8"/>
      <c r="C101" s="9">
        <v>100.0</v>
      </c>
      <c r="D101" s="9">
        <v>199.0</v>
      </c>
      <c r="E101" s="23">
        <v>10900.0</v>
      </c>
      <c r="F101" s="11"/>
    </row>
    <row r="102" ht="15.75" customHeight="1">
      <c r="A102" s="12" t="s">
        <v>35</v>
      </c>
      <c r="B102" s="8"/>
      <c r="C102" s="9">
        <v>200.0</v>
      </c>
      <c r="D102" s="14">
        <v>499.0</v>
      </c>
      <c r="E102" s="10">
        <v>9999.0</v>
      </c>
      <c r="F102" s="11"/>
    </row>
    <row r="103" ht="15.75" customHeight="1">
      <c r="A103" s="12" t="s">
        <v>35</v>
      </c>
      <c r="B103" s="8"/>
      <c r="C103" s="9">
        <v>500.0</v>
      </c>
      <c r="D103" s="9">
        <v>999.0</v>
      </c>
      <c r="E103" s="13">
        <v>9999.0</v>
      </c>
      <c r="F103" s="11"/>
    </row>
    <row r="104" ht="15.75" customHeight="1">
      <c r="A104" s="15" t="s">
        <v>36</v>
      </c>
      <c r="B104" s="16"/>
      <c r="C104" s="17">
        <v>50.0</v>
      </c>
      <c r="D104" s="17">
        <v>99.0</v>
      </c>
      <c r="E104" s="10">
        <v>18900.0</v>
      </c>
      <c r="F104" s="18"/>
    </row>
    <row r="105" ht="15.75" customHeight="1">
      <c r="A105" s="19" t="s">
        <v>36</v>
      </c>
      <c r="B105" s="16"/>
      <c r="C105" s="17">
        <v>100.0</v>
      </c>
      <c r="D105" s="17">
        <v>199.0</v>
      </c>
      <c r="E105" s="13">
        <v>17900.0</v>
      </c>
      <c r="F105" s="18"/>
    </row>
    <row r="106" ht="15.75" customHeight="1">
      <c r="A106" s="19" t="s">
        <v>36</v>
      </c>
      <c r="B106" s="16"/>
      <c r="C106" s="17">
        <v>200.0</v>
      </c>
      <c r="D106" s="24">
        <v>499.0</v>
      </c>
      <c r="E106" s="10">
        <v>16900.0</v>
      </c>
      <c r="F106" s="18"/>
    </row>
    <row r="107" ht="15.75" customHeight="1">
      <c r="A107" s="19" t="s">
        <v>36</v>
      </c>
      <c r="B107" s="16"/>
      <c r="C107" s="17">
        <v>500.0</v>
      </c>
      <c r="D107" s="17">
        <v>999.0</v>
      </c>
      <c r="E107" s="23">
        <v>15900.0</v>
      </c>
      <c r="F107" s="18"/>
    </row>
    <row r="112" ht="15.75" customHeight="1">
      <c r="A112" s="20" t="s">
        <v>37</v>
      </c>
      <c r="B112" s="16"/>
      <c r="C112" s="17">
        <v>50.0</v>
      </c>
      <c r="D112" s="17">
        <v>99.0</v>
      </c>
      <c r="E112" s="10">
        <v>13900.0</v>
      </c>
      <c r="F112" s="18"/>
    </row>
    <row r="113" ht="15.75" customHeight="1">
      <c r="A113" s="20" t="s">
        <v>37</v>
      </c>
      <c r="B113" s="16"/>
      <c r="C113" s="17">
        <v>100.0</v>
      </c>
      <c r="D113" s="17">
        <v>199.0</v>
      </c>
      <c r="E113" s="13">
        <v>12900.0</v>
      </c>
      <c r="F113" s="18"/>
    </row>
    <row r="114" ht="15.75" customHeight="1">
      <c r="A114" s="20" t="s">
        <v>37</v>
      </c>
      <c r="B114" s="16"/>
      <c r="C114" s="17">
        <v>200.0</v>
      </c>
      <c r="D114" s="24">
        <v>499.0</v>
      </c>
      <c r="E114" s="10">
        <v>11900.0</v>
      </c>
      <c r="F114" s="18"/>
    </row>
    <row r="115" ht="15.75" customHeight="1">
      <c r="A115" s="20" t="s">
        <v>37</v>
      </c>
      <c r="B115" s="16"/>
      <c r="C115" s="17">
        <v>500.0</v>
      </c>
      <c r="D115" s="17">
        <v>999.0</v>
      </c>
      <c r="E115" s="23">
        <v>10900.0</v>
      </c>
      <c r="F115" s="18"/>
    </row>
    <row r="116" ht="15.75" customHeight="1">
      <c r="A116" s="7" t="s">
        <v>38</v>
      </c>
      <c r="B116" s="8"/>
      <c r="C116" s="9">
        <v>50.0</v>
      </c>
      <c r="D116" s="9">
        <v>99.0</v>
      </c>
      <c r="E116" s="10">
        <v>12990.0</v>
      </c>
      <c r="F116" s="11"/>
    </row>
    <row r="117" ht="15.75" customHeight="1">
      <c r="A117" s="12" t="s">
        <v>38</v>
      </c>
      <c r="B117" s="8"/>
      <c r="C117" s="9">
        <v>100.0</v>
      </c>
      <c r="D117" s="9">
        <v>199.0</v>
      </c>
      <c r="E117" s="13">
        <v>11990.0</v>
      </c>
      <c r="F117" s="11"/>
    </row>
    <row r="118" ht="15.75" customHeight="1">
      <c r="A118" s="12" t="s">
        <v>38</v>
      </c>
      <c r="B118" s="8"/>
      <c r="C118" s="9">
        <v>200.0</v>
      </c>
      <c r="D118" s="14">
        <v>499.0</v>
      </c>
      <c r="E118" s="22">
        <v>10990.0</v>
      </c>
      <c r="F118" s="11"/>
    </row>
    <row r="119" ht="15.75" customHeight="1">
      <c r="A119" s="12" t="s">
        <v>38</v>
      </c>
      <c r="B119" s="8"/>
      <c r="C119" s="9">
        <v>500.0</v>
      </c>
      <c r="D119" s="9">
        <v>999.0</v>
      </c>
      <c r="E119" s="13">
        <v>9999.0</v>
      </c>
      <c r="F119" s="11"/>
    </row>
    <row r="120" ht="15.75" customHeight="1">
      <c r="A120" s="15" t="s">
        <v>39</v>
      </c>
      <c r="B120" s="16"/>
      <c r="C120" s="17">
        <v>50.0</v>
      </c>
      <c r="D120" s="17">
        <v>99.0</v>
      </c>
      <c r="E120" s="10">
        <v>8999.0</v>
      </c>
      <c r="F120" s="18"/>
    </row>
    <row r="121" ht="15.75" customHeight="1">
      <c r="A121" s="19" t="s">
        <v>39</v>
      </c>
      <c r="B121" s="16"/>
      <c r="C121" s="17">
        <v>100.0</v>
      </c>
      <c r="D121" s="17">
        <v>199.0</v>
      </c>
      <c r="E121" s="13">
        <v>7999.0</v>
      </c>
      <c r="F121" s="18"/>
    </row>
    <row r="122" ht="15.75" customHeight="1">
      <c r="A122" s="19" t="s">
        <v>39</v>
      </c>
      <c r="B122" s="16"/>
      <c r="C122" s="17">
        <v>200.0</v>
      </c>
      <c r="D122" s="17">
        <v>299.0</v>
      </c>
      <c r="E122" s="10">
        <v>7999.0</v>
      </c>
      <c r="F122" s="18"/>
    </row>
    <row r="123" ht="15.75" customHeight="1">
      <c r="A123" s="19" t="s">
        <v>39</v>
      </c>
      <c r="B123" s="16"/>
      <c r="C123" s="17">
        <v>500.0</v>
      </c>
      <c r="D123" s="17">
        <v>999.0</v>
      </c>
      <c r="E123" s="13">
        <v>7990.0</v>
      </c>
      <c r="F123" s="18"/>
    </row>
    <row r="124" ht="15.75" customHeight="1">
      <c r="A124" s="7" t="s">
        <v>40</v>
      </c>
      <c r="B124" s="8"/>
      <c r="C124" s="9">
        <v>50.0</v>
      </c>
      <c r="D124" s="9">
        <v>99.0</v>
      </c>
      <c r="E124" s="25"/>
      <c r="F124" s="11"/>
    </row>
    <row r="125" ht="15.75" customHeight="1">
      <c r="A125" s="12" t="s">
        <v>40</v>
      </c>
      <c r="B125" s="8"/>
      <c r="C125" s="9">
        <v>100.0</v>
      </c>
      <c r="D125" s="9">
        <v>199.0</v>
      </c>
      <c r="E125" s="25"/>
      <c r="F125" s="11"/>
    </row>
    <row r="126" ht="15.75" customHeight="1">
      <c r="A126" s="12" t="s">
        <v>40</v>
      </c>
      <c r="B126" s="8"/>
      <c r="C126" s="9">
        <v>200.0</v>
      </c>
      <c r="D126" s="9">
        <v>299.0</v>
      </c>
      <c r="E126" s="25"/>
      <c r="F126" s="11"/>
    </row>
    <row r="127" ht="15.75" customHeight="1">
      <c r="A127" s="12" t="s">
        <v>40</v>
      </c>
      <c r="B127" s="8"/>
      <c r="C127" s="9">
        <v>500.0</v>
      </c>
      <c r="D127" s="9">
        <v>999.0</v>
      </c>
      <c r="E127" s="25"/>
      <c r="F127" s="11"/>
    </row>
    <row r="128" ht="15.75" customHeight="1">
      <c r="A128" s="15" t="s">
        <v>41</v>
      </c>
      <c r="B128" s="16"/>
      <c r="C128" s="17">
        <v>50.0</v>
      </c>
      <c r="D128" s="17">
        <v>99.0</v>
      </c>
      <c r="E128" s="25"/>
      <c r="F128" s="18"/>
    </row>
    <row r="129" ht="15.75" customHeight="1">
      <c r="A129" s="19" t="s">
        <v>41</v>
      </c>
      <c r="B129" s="16"/>
      <c r="C129" s="17">
        <v>100.0</v>
      </c>
      <c r="D129" s="17">
        <v>199.0</v>
      </c>
      <c r="E129" s="25"/>
      <c r="F129" s="18"/>
    </row>
    <row r="130" ht="15.75" customHeight="1">
      <c r="A130" s="19" t="s">
        <v>41</v>
      </c>
      <c r="B130" s="16"/>
      <c r="C130" s="17">
        <v>200.0</v>
      </c>
      <c r="D130" s="17">
        <v>299.0</v>
      </c>
      <c r="E130" s="25"/>
      <c r="F130" s="18"/>
    </row>
    <row r="131" ht="15.75" customHeight="1">
      <c r="A131" s="19" t="s">
        <v>41</v>
      </c>
      <c r="B131" s="16"/>
      <c r="C131" s="17">
        <v>500.0</v>
      </c>
      <c r="D131" s="17">
        <v>999.0</v>
      </c>
      <c r="E131" s="25"/>
      <c r="F131" s="18"/>
    </row>
    <row r="132" ht="15.75" customHeight="1">
      <c r="A132" s="7" t="s">
        <v>42</v>
      </c>
      <c r="B132" s="8"/>
      <c r="C132" s="9">
        <v>50.0</v>
      </c>
      <c r="D132" s="9">
        <v>99.0</v>
      </c>
      <c r="E132" s="10">
        <v>3999.0</v>
      </c>
      <c r="F132" s="11"/>
    </row>
    <row r="133" ht="15.75" customHeight="1">
      <c r="A133" s="12" t="s">
        <v>42</v>
      </c>
      <c r="B133" s="8"/>
      <c r="C133" s="9">
        <v>100.0</v>
      </c>
      <c r="D133" s="9">
        <v>199.0</v>
      </c>
      <c r="E133" s="13">
        <v>3999.0</v>
      </c>
      <c r="F133" s="11"/>
    </row>
    <row r="134" ht="15.75" customHeight="1">
      <c r="A134" s="12" t="s">
        <v>42</v>
      </c>
      <c r="B134" s="8"/>
      <c r="C134" s="9">
        <v>200.0</v>
      </c>
      <c r="D134" s="14">
        <v>499.0</v>
      </c>
      <c r="E134" s="10">
        <v>3999.0</v>
      </c>
      <c r="F134" s="11"/>
    </row>
    <row r="135" ht="15.75" customHeight="1">
      <c r="A135" s="12" t="s">
        <v>42</v>
      </c>
      <c r="B135" s="8"/>
      <c r="C135" s="9">
        <v>500.0</v>
      </c>
      <c r="D135" s="9">
        <v>999.0</v>
      </c>
      <c r="E135" s="13">
        <v>3999.0</v>
      </c>
      <c r="F135" s="11"/>
    </row>
    <row r="136" ht="15.75" customHeight="1">
      <c r="A136" s="15" t="s">
        <v>43</v>
      </c>
      <c r="B136" s="16"/>
      <c r="C136" s="17">
        <v>50.0</v>
      </c>
      <c r="D136" s="17">
        <v>99.0</v>
      </c>
      <c r="E136" s="10">
        <v>12990.0</v>
      </c>
      <c r="F136" s="18"/>
    </row>
    <row r="137" ht="15.75" customHeight="1">
      <c r="A137" s="19" t="s">
        <v>43</v>
      </c>
      <c r="B137" s="16"/>
      <c r="C137" s="17">
        <v>100.0</v>
      </c>
      <c r="D137" s="17">
        <v>199.0</v>
      </c>
      <c r="E137" s="13">
        <v>11990.0</v>
      </c>
      <c r="F137" s="18"/>
    </row>
    <row r="138" ht="15.75" customHeight="1">
      <c r="A138" s="19" t="s">
        <v>43</v>
      </c>
      <c r="B138" s="16"/>
      <c r="C138" s="17">
        <v>200.0</v>
      </c>
      <c r="D138" s="24">
        <v>499.0</v>
      </c>
      <c r="E138" s="22">
        <v>10990.0</v>
      </c>
      <c r="F138" s="18"/>
    </row>
    <row r="139" ht="15.75" customHeight="1">
      <c r="A139" s="19" t="s">
        <v>43</v>
      </c>
      <c r="B139" s="16"/>
      <c r="C139" s="17">
        <v>500.0</v>
      </c>
      <c r="D139" s="17">
        <v>999.0</v>
      </c>
      <c r="E139" s="13">
        <v>9999.0</v>
      </c>
      <c r="F139" s="18"/>
    </row>
    <row r="140" ht="15.75" customHeight="1">
      <c r="A140" s="26" t="s">
        <v>44</v>
      </c>
      <c r="B140" s="16"/>
      <c r="C140" s="17">
        <v>50.0</v>
      </c>
      <c r="D140" s="17">
        <v>99.0</v>
      </c>
      <c r="E140" s="10">
        <v>3999.0</v>
      </c>
      <c r="F140" s="18"/>
    </row>
    <row r="141" ht="15.75" customHeight="1">
      <c r="A141" s="19"/>
      <c r="B141" s="16"/>
      <c r="C141" s="17">
        <v>100.0</v>
      </c>
      <c r="D141" s="17">
        <v>199.0</v>
      </c>
      <c r="E141" s="10">
        <v>3999.0</v>
      </c>
      <c r="F141" s="18"/>
    </row>
    <row r="142" ht="15.75" customHeight="1">
      <c r="A142" s="19"/>
      <c r="B142" s="16"/>
      <c r="C142" s="17">
        <v>200.0</v>
      </c>
      <c r="D142" s="24">
        <v>499.0</v>
      </c>
      <c r="E142" s="10">
        <v>3999.0</v>
      </c>
      <c r="F142" s="18"/>
    </row>
    <row r="143" ht="15.75" customHeight="1">
      <c r="A143" s="19"/>
      <c r="B143" s="16"/>
      <c r="C143" s="17">
        <v>500.0</v>
      </c>
      <c r="D143" s="17">
        <v>999.0</v>
      </c>
      <c r="E143" s="10">
        <v>3999.0</v>
      </c>
      <c r="F143" s="18"/>
    </row>
    <row r="144" ht="15.75" customHeight="1">
      <c r="A144" s="26" t="s">
        <v>45</v>
      </c>
      <c r="B144" s="16"/>
      <c r="C144" s="17"/>
      <c r="D144" s="17"/>
      <c r="E144" s="10"/>
      <c r="F144" s="18"/>
    </row>
    <row r="145" ht="15.75" customHeight="1">
      <c r="A145" s="19"/>
      <c r="B145" s="16"/>
      <c r="C145" s="17"/>
      <c r="D145" s="17"/>
      <c r="E145" s="13"/>
      <c r="F145" s="18"/>
    </row>
    <row r="146" ht="15.75" customHeight="1">
      <c r="A146" s="19"/>
      <c r="B146" s="16"/>
      <c r="C146" s="17">
        <v>200.0</v>
      </c>
      <c r="D146" s="24">
        <v>499.0</v>
      </c>
      <c r="E146" s="10">
        <v>6590.0</v>
      </c>
      <c r="F146" s="18"/>
    </row>
    <row r="147" ht="15.75" customHeight="1">
      <c r="A147" s="19"/>
      <c r="B147" s="16"/>
      <c r="C147" s="17">
        <v>500.0</v>
      </c>
      <c r="D147" s="17">
        <v>999.0</v>
      </c>
      <c r="E147" s="13">
        <v>5590.0</v>
      </c>
      <c r="F147" s="18"/>
    </row>
    <row r="148" ht="15.75" customHeight="1">
      <c r="A148" s="26" t="s">
        <v>46</v>
      </c>
      <c r="B148" s="16"/>
      <c r="C148" s="17">
        <v>50.0</v>
      </c>
      <c r="D148" s="17">
        <v>99.0</v>
      </c>
      <c r="E148" s="10"/>
      <c r="F148" s="18"/>
    </row>
    <row r="149" ht="15.75" customHeight="1">
      <c r="A149" s="19"/>
      <c r="B149" s="16"/>
      <c r="C149" s="17">
        <v>100.0</v>
      </c>
      <c r="D149" s="17">
        <v>199.0</v>
      </c>
      <c r="E149" s="13"/>
      <c r="F149" s="18"/>
    </row>
    <row r="150" ht="15.75" customHeight="1">
      <c r="A150" s="19"/>
      <c r="B150" s="16"/>
      <c r="C150" s="17">
        <v>200.0</v>
      </c>
      <c r="D150" s="24">
        <v>499.0</v>
      </c>
      <c r="E150" s="22"/>
      <c r="F150" s="18"/>
    </row>
    <row r="151" ht="15.75" customHeight="1">
      <c r="A151" s="19"/>
      <c r="B151" s="16"/>
      <c r="C151" s="17">
        <v>500.0</v>
      </c>
      <c r="D151" s="17">
        <v>999.0</v>
      </c>
      <c r="E151" s="13"/>
      <c r="F151" s="18"/>
    </row>
    <row r="152" ht="15.75" customHeight="1">
      <c r="A152" s="26" t="s">
        <v>47</v>
      </c>
      <c r="B152" s="16"/>
      <c r="C152" s="17">
        <v>50.0</v>
      </c>
      <c r="D152" s="17">
        <v>99.0</v>
      </c>
      <c r="E152" s="10"/>
      <c r="F152" s="18"/>
    </row>
    <row r="153" ht="15.75" customHeight="1">
      <c r="A153" s="19"/>
      <c r="B153" s="16"/>
      <c r="C153" s="17">
        <v>100.0</v>
      </c>
      <c r="D153" s="17">
        <v>199.0</v>
      </c>
      <c r="E153" s="13"/>
      <c r="F153" s="18"/>
    </row>
    <row r="154" ht="15.75" customHeight="1">
      <c r="A154" s="19"/>
      <c r="B154" s="16"/>
      <c r="C154" s="17">
        <v>200.0</v>
      </c>
      <c r="D154" s="24">
        <v>499.0</v>
      </c>
      <c r="E154" s="10">
        <v>15999.0</v>
      </c>
      <c r="F154" s="18"/>
    </row>
    <row r="155" ht="15.75" customHeight="1">
      <c r="A155" s="19"/>
      <c r="B155" s="16"/>
      <c r="C155" s="17">
        <v>500.0</v>
      </c>
      <c r="D155" s="17">
        <v>999.0</v>
      </c>
      <c r="E155" s="13">
        <v>14999.0</v>
      </c>
      <c r="F155" s="18"/>
    </row>
    <row r="156" ht="15.75" customHeight="1">
      <c r="A156" s="26" t="s">
        <v>48</v>
      </c>
      <c r="B156" s="16"/>
      <c r="C156" s="17">
        <v>50.0</v>
      </c>
      <c r="D156" s="17">
        <v>99.0</v>
      </c>
      <c r="E156" s="13">
        <v>6999.0</v>
      </c>
      <c r="F156" s="18"/>
    </row>
    <row r="157" ht="15.75" customHeight="1">
      <c r="A157" s="19"/>
      <c r="B157" s="16"/>
      <c r="C157" s="17">
        <v>100.0</v>
      </c>
      <c r="D157" s="17">
        <v>199.0</v>
      </c>
      <c r="E157" s="13">
        <v>6999.0</v>
      </c>
      <c r="F157" s="18"/>
    </row>
    <row r="158" ht="15.75" customHeight="1">
      <c r="A158" s="19"/>
      <c r="B158" s="16"/>
      <c r="C158" s="17">
        <v>200.0</v>
      </c>
      <c r="D158" s="24">
        <v>499.0</v>
      </c>
      <c r="E158" s="10">
        <v>5999.0</v>
      </c>
      <c r="F158" s="18"/>
    </row>
    <row r="159" ht="15.75" customHeight="1">
      <c r="A159" s="19"/>
      <c r="B159" s="16"/>
      <c r="C159" s="17">
        <v>500.0</v>
      </c>
      <c r="D159" s="17">
        <v>999.0</v>
      </c>
      <c r="E159" s="10">
        <v>5999.0</v>
      </c>
      <c r="F159" s="18"/>
    </row>
    <row r="160" ht="15.75" customHeight="1">
      <c r="A160" s="26" t="s">
        <v>49</v>
      </c>
      <c r="B160" s="16"/>
      <c r="C160" s="17">
        <v>50.0</v>
      </c>
      <c r="D160" s="17">
        <v>99.0</v>
      </c>
      <c r="E160" s="13">
        <v>7999.0</v>
      </c>
      <c r="F160" s="18"/>
    </row>
    <row r="161" ht="15.75" customHeight="1">
      <c r="A161" s="19"/>
      <c r="B161" s="16"/>
      <c r="C161" s="17">
        <v>100.0</v>
      </c>
      <c r="D161" s="17">
        <v>199.0</v>
      </c>
      <c r="E161" s="13">
        <v>7999.0</v>
      </c>
      <c r="F161" s="18"/>
    </row>
    <row r="162" ht="15.75" customHeight="1">
      <c r="A162" s="19"/>
      <c r="B162" s="16"/>
      <c r="C162" s="17">
        <v>200.0</v>
      </c>
      <c r="D162" s="24">
        <v>499.0</v>
      </c>
      <c r="E162" s="10">
        <v>6999.0</v>
      </c>
      <c r="F162" s="18"/>
    </row>
    <row r="163" ht="15.75" customHeight="1">
      <c r="A163" s="19"/>
      <c r="B163" s="16"/>
      <c r="C163" s="17">
        <v>500.0</v>
      </c>
      <c r="D163" s="17">
        <v>999.0</v>
      </c>
      <c r="E163" s="10">
        <v>6999.0</v>
      </c>
      <c r="F163" s="18"/>
    </row>
    <row r="164" ht="15.75" customHeight="1">
      <c r="A164" s="26" t="s">
        <v>50</v>
      </c>
      <c r="B164" s="16"/>
      <c r="C164" s="17">
        <v>50.0</v>
      </c>
      <c r="D164" s="17">
        <v>99.0</v>
      </c>
      <c r="E164" s="10"/>
      <c r="F164" s="18"/>
    </row>
    <row r="165" ht="15.75" customHeight="1">
      <c r="A165" s="19"/>
      <c r="B165" s="16"/>
      <c r="C165" s="17">
        <v>100.0</v>
      </c>
      <c r="D165" s="17">
        <v>199.0</v>
      </c>
      <c r="E165" s="13"/>
      <c r="F165" s="18"/>
    </row>
    <row r="166" ht="15.75" customHeight="1">
      <c r="A166" s="19"/>
      <c r="B166" s="16"/>
      <c r="C166" s="17">
        <v>200.0</v>
      </c>
      <c r="D166" s="24">
        <v>499.0</v>
      </c>
      <c r="E166" s="22"/>
      <c r="F166" s="18"/>
    </row>
    <row r="167" ht="15.75" customHeight="1">
      <c r="A167" s="19"/>
      <c r="B167" s="16"/>
      <c r="C167" s="17">
        <v>500.0</v>
      </c>
      <c r="D167" s="17">
        <v>999.0</v>
      </c>
      <c r="E167" s="13"/>
      <c r="F167" s="18"/>
    </row>
    <row r="168" ht="15.75" customHeight="1">
      <c r="A168" s="19"/>
      <c r="B168" s="16"/>
      <c r="C168" s="17">
        <v>50.0</v>
      </c>
      <c r="D168" s="17">
        <v>99.0</v>
      </c>
      <c r="E168" s="10"/>
      <c r="F168" s="18"/>
    </row>
    <row r="169" ht="15.75" customHeight="1">
      <c r="A169" s="19"/>
      <c r="B169" s="16"/>
      <c r="C169" s="17">
        <v>100.0</v>
      </c>
      <c r="D169" s="17">
        <v>199.0</v>
      </c>
      <c r="E169" s="13"/>
      <c r="F169" s="18"/>
    </row>
    <row r="170" ht="15.75" customHeight="1">
      <c r="A170" s="19"/>
      <c r="B170" s="16"/>
      <c r="C170" s="17">
        <v>200.0</v>
      </c>
      <c r="D170" s="24">
        <v>499.0</v>
      </c>
      <c r="E170" s="22"/>
      <c r="F170" s="18"/>
    </row>
    <row r="171" ht="15.75" customHeight="1">
      <c r="A171" s="19"/>
      <c r="B171" s="16"/>
      <c r="C171" s="17">
        <v>500.0</v>
      </c>
      <c r="D171" s="17">
        <v>999.0</v>
      </c>
      <c r="E171" s="13"/>
      <c r="F171" s="18"/>
    </row>
    <row r="172" ht="15.75" customHeight="1">
      <c r="A172" s="19"/>
      <c r="B172" s="16"/>
      <c r="C172" s="17">
        <v>50.0</v>
      </c>
      <c r="D172" s="17">
        <v>99.0</v>
      </c>
      <c r="E172" s="10"/>
      <c r="F172" s="18"/>
    </row>
    <row r="173" ht="15.75" customHeight="1">
      <c r="A173" s="19"/>
      <c r="B173" s="16"/>
      <c r="C173" s="17">
        <v>100.0</v>
      </c>
      <c r="D173" s="17">
        <v>199.0</v>
      </c>
      <c r="E173" s="13"/>
      <c r="F173" s="18"/>
    </row>
    <row r="174" ht="15.75" customHeight="1">
      <c r="A174" s="19"/>
      <c r="B174" s="16"/>
      <c r="C174" s="17">
        <v>200.0</v>
      </c>
      <c r="D174" s="24">
        <v>499.0</v>
      </c>
      <c r="E174" s="22"/>
      <c r="F174" s="18"/>
    </row>
    <row r="175" ht="15.75" customHeight="1">
      <c r="A175" s="19"/>
      <c r="B175" s="16"/>
      <c r="C175" s="17">
        <v>500.0</v>
      </c>
      <c r="D175" s="17">
        <v>999.0</v>
      </c>
      <c r="E175" s="13"/>
      <c r="F175" s="18"/>
    </row>
    <row r="176" ht="15.75" customHeight="1">
      <c r="A176" s="19"/>
      <c r="B176" s="16"/>
      <c r="C176" s="17">
        <v>50.0</v>
      </c>
      <c r="D176" s="17">
        <v>99.0</v>
      </c>
      <c r="E176" s="10"/>
      <c r="F176" s="18"/>
    </row>
    <row r="177" ht="15.75" customHeight="1">
      <c r="A177" s="19"/>
      <c r="B177" s="16"/>
      <c r="C177" s="17">
        <v>100.0</v>
      </c>
      <c r="D177" s="17">
        <v>199.0</v>
      </c>
      <c r="E177" s="13"/>
      <c r="F177" s="18"/>
    </row>
    <row r="178" ht="15.75" customHeight="1">
      <c r="A178" s="19"/>
      <c r="B178" s="16"/>
      <c r="C178" s="17">
        <v>200.0</v>
      </c>
      <c r="D178" s="24">
        <v>499.0</v>
      </c>
      <c r="E178" s="22"/>
      <c r="F178" s="18"/>
    </row>
    <row r="179" ht="15.75" customHeight="1">
      <c r="A179" s="19"/>
      <c r="B179" s="16"/>
      <c r="C179" s="17">
        <v>500.0</v>
      </c>
      <c r="D179" s="17">
        <v>999.0</v>
      </c>
      <c r="E179" s="13"/>
      <c r="F179" s="18"/>
    </row>
    <row r="180" ht="15.75" customHeight="1">
      <c r="A180" s="19"/>
      <c r="B180" s="16"/>
      <c r="C180" s="17">
        <v>50.0</v>
      </c>
      <c r="D180" s="17">
        <v>99.0</v>
      </c>
      <c r="E180" s="10"/>
      <c r="F180" s="18"/>
    </row>
    <row r="181" ht="15.75" customHeight="1">
      <c r="A181" s="19"/>
      <c r="B181" s="16"/>
      <c r="C181" s="17">
        <v>100.0</v>
      </c>
      <c r="D181" s="17">
        <v>199.0</v>
      </c>
      <c r="E181" s="13"/>
      <c r="F181" s="18"/>
    </row>
    <row r="182" ht="15.75" customHeight="1">
      <c r="A182" s="19"/>
      <c r="B182" s="16"/>
      <c r="C182" s="17">
        <v>200.0</v>
      </c>
      <c r="D182" s="24">
        <v>499.0</v>
      </c>
      <c r="E182" s="22"/>
      <c r="F182" s="18"/>
    </row>
    <row r="183" ht="15.75" customHeight="1">
      <c r="A183" s="19"/>
      <c r="B183" s="16"/>
      <c r="C183" s="17">
        <v>500.0</v>
      </c>
      <c r="D183" s="17">
        <v>999.0</v>
      </c>
      <c r="E183" s="13"/>
      <c r="F183" s="18"/>
    </row>
    <row r="184" ht="15.75" customHeight="1">
      <c r="A184" s="19"/>
      <c r="B184" s="16"/>
      <c r="C184" s="17">
        <v>50.0</v>
      </c>
      <c r="D184" s="17">
        <v>99.0</v>
      </c>
      <c r="E184" s="10"/>
      <c r="F184" s="18"/>
    </row>
    <row r="185" ht="15.75" customHeight="1">
      <c r="A185" s="19"/>
      <c r="B185" s="16"/>
      <c r="C185" s="17">
        <v>100.0</v>
      </c>
      <c r="D185" s="17">
        <v>199.0</v>
      </c>
      <c r="E185" s="13"/>
      <c r="F185" s="18"/>
    </row>
    <row r="186" ht="15.75" customHeight="1">
      <c r="A186" s="19"/>
      <c r="B186" s="16"/>
      <c r="C186" s="17">
        <v>200.0</v>
      </c>
      <c r="D186" s="24">
        <v>499.0</v>
      </c>
      <c r="E186" s="22"/>
      <c r="F186" s="18"/>
    </row>
    <row r="187" ht="15.75" customHeight="1">
      <c r="A187" s="19"/>
      <c r="B187" s="16"/>
      <c r="C187" s="17">
        <v>500.0</v>
      </c>
      <c r="D187" s="17">
        <v>999.0</v>
      </c>
      <c r="E187" s="13"/>
      <c r="F187" s="18"/>
    </row>
    <row r="188" ht="15.75" customHeight="1">
      <c r="A188" s="19"/>
      <c r="B188" s="16"/>
      <c r="C188" s="17">
        <v>50.0</v>
      </c>
      <c r="D188" s="17">
        <v>99.0</v>
      </c>
      <c r="E188" s="10"/>
      <c r="F188" s="18"/>
    </row>
    <row r="189" ht="15.75" customHeight="1">
      <c r="A189" s="19"/>
      <c r="B189" s="16"/>
      <c r="C189" s="17">
        <v>100.0</v>
      </c>
      <c r="D189" s="17">
        <v>199.0</v>
      </c>
      <c r="E189" s="13"/>
      <c r="F189" s="18"/>
    </row>
    <row r="190" ht="15.75" customHeight="1">
      <c r="A190" s="19"/>
      <c r="B190" s="16"/>
      <c r="C190" s="17">
        <v>200.0</v>
      </c>
      <c r="D190" s="24">
        <v>499.0</v>
      </c>
      <c r="E190" s="22"/>
      <c r="F190" s="18"/>
    </row>
    <row r="191" ht="15.75" customHeight="1">
      <c r="A191" s="19"/>
      <c r="B191" s="16"/>
      <c r="C191" s="17">
        <v>500.0</v>
      </c>
      <c r="D191" s="17">
        <v>999.0</v>
      </c>
      <c r="E191" s="13"/>
      <c r="F191" s="18"/>
    </row>
    <row r="192" ht="19.5" customHeight="1">
      <c r="A192" s="27" t="s">
        <v>51</v>
      </c>
      <c r="B192" s="2"/>
      <c r="C192" s="2"/>
      <c r="D192" s="2"/>
      <c r="E192" s="2"/>
      <c r="F192" s="3"/>
    </row>
    <row r="193" ht="15.75" customHeight="1">
      <c r="A193" s="7" t="s">
        <v>52</v>
      </c>
      <c r="B193" s="8"/>
      <c r="C193" s="9">
        <v>50.0</v>
      </c>
      <c r="D193" s="9">
        <v>99.0</v>
      </c>
      <c r="E193" s="25"/>
      <c r="F193" s="11" t="s">
        <v>53</v>
      </c>
    </row>
    <row r="194" ht="15.75" customHeight="1">
      <c r="A194" s="19" t="s">
        <v>52</v>
      </c>
      <c r="B194" s="16"/>
      <c r="C194" s="17">
        <v>100.0</v>
      </c>
      <c r="D194" s="17">
        <v>199.0</v>
      </c>
      <c r="E194" s="25"/>
      <c r="F194" s="18"/>
    </row>
    <row r="195" ht="15.75" customHeight="1">
      <c r="A195" s="12" t="s">
        <v>52</v>
      </c>
      <c r="B195" s="8"/>
      <c r="C195" s="9">
        <v>200.0</v>
      </c>
      <c r="D195" s="9">
        <v>299.0</v>
      </c>
      <c r="E195" s="25"/>
      <c r="F195" s="11"/>
    </row>
    <row r="196" ht="15.75" customHeight="1">
      <c r="A196" s="19" t="s">
        <v>52</v>
      </c>
      <c r="B196" s="16"/>
      <c r="C196" s="17">
        <v>500.0</v>
      </c>
      <c r="D196" s="17" t="s">
        <v>54</v>
      </c>
      <c r="E196" s="25"/>
      <c r="F196" s="18"/>
    </row>
    <row r="197" ht="15.75" customHeight="1">
      <c r="A197" s="7" t="s">
        <v>55</v>
      </c>
      <c r="B197" s="8"/>
      <c r="C197" s="9">
        <v>50.0</v>
      </c>
      <c r="D197" s="9">
        <v>99.0</v>
      </c>
      <c r="E197" s="25"/>
      <c r="F197" s="11" t="s">
        <v>53</v>
      </c>
    </row>
    <row r="198" ht="15.75" customHeight="1">
      <c r="A198" s="19" t="s">
        <v>55</v>
      </c>
      <c r="B198" s="16"/>
      <c r="C198" s="17">
        <v>100.0</v>
      </c>
      <c r="D198" s="17">
        <v>199.0</v>
      </c>
      <c r="E198" s="25"/>
      <c r="F198" s="18"/>
    </row>
    <row r="199" ht="15.75" customHeight="1">
      <c r="A199" s="12" t="s">
        <v>55</v>
      </c>
      <c r="B199" s="8"/>
      <c r="C199" s="9">
        <v>200.0</v>
      </c>
      <c r="D199" s="9">
        <v>299.0</v>
      </c>
      <c r="E199" s="25"/>
      <c r="F199" s="11"/>
    </row>
    <row r="200" ht="15.75" customHeight="1">
      <c r="A200" s="19" t="s">
        <v>55</v>
      </c>
      <c r="B200" s="16"/>
      <c r="C200" s="17">
        <v>500.0</v>
      </c>
      <c r="D200" s="17" t="s">
        <v>54</v>
      </c>
      <c r="E200" s="25"/>
      <c r="F200" s="18"/>
    </row>
    <row r="201" ht="15.75" customHeight="1">
      <c r="A201" s="7" t="s">
        <v>56</v>
      </c>
      <c r="B201" s="8"/>
      <c r="C201" s="9">
        <v>50.0</v>
      </c>
      <c r="D201" s="9">
        <v>99.0</v>
      </c>
      <c r="E201" s="25"/>
      <c r="F201" s="11" t="s">
        <v>53</v>
      </c>
    </row>
    <row r="202" ht="15.75" customHeight="1">
      <c r="A202" s="19" t="s">
        <v>56</v>
      </c>
      <c r="B202" s="16"/>
      <c r="C202" s="17">
        <v>100.0</v>
      </c>
      <c r="D202" s="17">
        <v>199.0</v>
      </c>
      <c r="E202" s="25"/>
      <c r="F202" s="18"/>
    </row>
    <row r="203" ht="15.75" customHeight="1">
      <c r="A203" s="12" t="s">
        <v>56</v>
      </c>
      <c r="B203" s="8"/>
      <c r="C203" s="9">
        <v>200.0</v>
      </c>
      <c r="D203" s="9">
        <v>299.0</v>
      </c>
      <c r="E203" s="25"/>
      <c r="F203" s="11"/>
    </row>
    <row r="204" ht="15.75" customHeight="1">
      <c r="A204" s="19" t="s">
        <v>56</v>
      </c>
      <c r="B204" s="16"/>
      <c r="C204" s="17">
        <v>500.0</v>
      </c>
      <c r="D204" s="17" t="s">
        <v>54</v>
      </c>
      <c r="E204" s="25"/>
      <c r="F204" s="18"/>
    </row>
    <row r="205" ht="15.75" customHeight="1">
      <c r="A205" s="7" t="s">
        <v>57</v>
      </c>
      <c r="B205" s="8"/>
      <c r="C205" s="9">
        <v>50.0</v>
      </c>
      <c r="D205" s="9">
        <v>99.0</v>
      </c>
      <c r="E205" s="25"/>
      <c r="F205" s="11" t="s">
        <v>53</v>
      </c>
    </row>
    <row r="206" ht="15.75" customHeight="1">
      <c r="A206" s="19" t="s">
        <v>57</v>
      </c>
      <c r="B206" s="16"/>
      <c r="C206" s="17">
        <v>100.0</v>
      </c>
      <c r="D206" s="17">
        <v>199.0</v>
      </c>
      <c r="E206" s="25"/>
      <c r="F206" s="18"/>
    </row>
    <row r="207" ht="15.75" customHeight="1">
      <c r="A207" s="12" t="s">
        <v>57</v>
      </c>
      <c r="B207" s="8"/>
      <c r="C207" s="9">
        <v>200.0</v>
      </c>
      <c r="D207" s="9">
        <v>299.0</v>
      </c>
      <c r="E207" s="25"/>
      <c r="F207" s="11"/>
    </row>
    <row r="208" ht="15.75" customHeight="1">
      <c r="A208" s="19" t="s">
        <v>57</v>
      </c>
      <c r="B208" s="16"/>
      <c r="C208" s="17">
        <v>500.0</v>
      </c>
      <c r="D208" s="17" t="s">
        <v>54</v>
      </c>
      <c r="E208" s="25"/>
      <c r="F208" s="18"/>
    </row>
    <row r="209" ht="15.75" customHeight="1">
      <c r="A209" s="7" t="s">
        <v>58</v>
      </c>
      <c r="B209" s="8"/>
      <c r="C209" s="9">
        <v>50.0</v>
      </c>
      <c r="D209" s="9">
        <v>99.0</v>
      </c>
      <c r="E209" s="25"/>
      <c r="F209" s="11" t="s">
        <v>53</v>
      </c>
    </row>
    <row r="210" ht="15.75" customHeight="1">
      <c r="A210" s="19" t="s">
        <v>58</v>
      </c>
      <c r="B210" s="16"/>
      <c r="C210" s="17">
        <v>100.0</v>
      </c>
      <c r="D210" s="17">
        <v>199.0</v>
      </c>
      <c r="E210" s="25"/>
      <c r="F210" s="18"/>
    </row>
    <row r="211" ht="15.75" customHeight="1">
      <c r="A211" s="12" t="s">
        <v>58</v>
      </c>
      <c r="B211" s="8"/>
      <c r="C211" s="9">
        <v>200.0</v>
      </c>
      <c r="D211" s="9">
        <v>299.0</v>
      </c>
      <c r="E211" s="25"/>
      <c r="F211" s="11"/>
    </row>
    <row r="212" ht="15.75" customHeight="1">
      <c r="A212" s="19" t="s">
        <v>58</v>
      </c>
      <c r="B212" s="16"/>
      <c r="C212" s="17">
        <v>500.0</v>
      </c>
      <c r="D212" s="17" t="s">
        <v>54</v>
      </c>
      <c r="E212" s="25"/>
      <c r="F212" s="18"/>
    </row>
    <row r="213" ht="15.75" customHeight="1">
      <c r="A213" s="7" t="s">
        <v>59</v>
      </c>
      <c r="B213" s="8"/>
      <c r="C213" s="9">
        <v>50.0</v>
      </c>
      <c r="D213" s="9">
        <v>99.0</v>
      </c>
      <c r="E213" s="25"/>
      <c r="F213" s="11" t="s">
        <v>53</v>
      </c>
    </row>
    <row r="214" ht="15.75" customHeight="1">
      <c r="A214" s="19" t="s">
        <v>59</v>
      </c>
      <c r="B214" s="16"/>
      <c r="C214" s="17">
        <v>100.0</v>
      </c>
      <c r="D214" s="17">
        <v>199.0</v>
      </c>
      <c r="E214" s="25"/>
      <c r="F214" s="18"/>
    </row>
    <row r="215" ht="15.75" customHeight="1">
      <c r="A215" s="12" t="s">
        <v>59</v>
      </c>
      <c r="B215" s="8"/>
      <c r="C215" s="9">
        <v>200.0</v>
      </c>
      <c r="D215" s="9">
        <v>299.0</v>
      </c>
      <c r="E215" s="25"/>
      <c r="F215" s="11"/>
    </row>
    <row r="216" ht="15.75" customHeight="1">
      <c r="A216" s="19" t="s">
        <v>59</v>
      </c>
      <c r="B216" s="16"/>
      <c r="C216" s="17">
        <v>500.0</v>
      </c>
      <c r="D216" s="17" t="s">
        <v>54</v>
      </c>
      <c r="E216" s="25"/>
      <c r="F216" s="18"/>
    </row>
    <row r="217" ht="15.75" customHeight="1">
      <c r="A217" s="7" t="s">
        <v>60</v>
      </c>
      <c r="B217" s="8"/>
      <c r="C217" s="9">
        <v>50.0</v>
      </c>
      <c r="D217" s="9">
        <v>99.0</v>
      </c>
      <c r="E217" s="25"/>
      <c r="F217" s="11" t="s">
        <v>53</v>
      </c>
    </row>
    <row r="218" ht="15.75" customHeight="1">
      <c r="A218" s="19" t="s">
        <v>60</v>
      </c>
      <c r="B218" s="16"/>
      <c r="C218" s="17">
        <v>100.0</v>
      </c>
      <c r="D218" s="17">
        <v>199.0</v>
      </c>
      <c r="E218" s="25"/>
      <c r="F218" s="18"/>
    </row>
    <row r="219" ht="15.75" customHeight="1">
      <c r="A219" s="12" t="s">
        <v>60</v>
      </c>
      <c r="B219" s="8"/>
      <c r="C219" s="9">
        <v>200.0</v>
      </c>
      <c r="D219" s="9">
        <v>299.0</v>
      </c>
      <c r="E219" s="25"/>
      <c r="F219" s="11"/>
    </row>
    <row r="220" ht="15.75" customHeight="1">
      <c r="A220" s="19" t="s">
        <v>60</v>
      </c>
      <c r="B220" s="16"/>
      <c r="C220" s="17">
        <v>500.0</v>
      </c>
      <c r="D220" s="17" t="s">
        <v>54</v>
      </c>
      <c r="E220" s="25"/>
      <c r="F220" s="18"/>
    </row>
    <row r="221" ht="15.75" customHeight="1">
      <c r="A221" s="7" t="s">
        <v>61</v>
      </c>
      <c r="B221" s="8"/>
      <c r="C221" s="9">
        <v>50.0</v>
      </c>
      <c r="D221" s="9">
        <v>99.0</v>
      </c>
      <c r="E221" s="25"/>
      <c r="F221" s="11" t="s">
        <v>53</v>
      </c>
    </row>
    <row r="222" ht="15.75" customHeight="1">
      <c r="A222" s="19" t="s">
        <v>61</v>
      </c>
      <c r="B222" s="16"/>
      <c r="C222" s="17">
        <v>100.0</v>
      </c>
      <c r="D222" s="17">
        <v>199.0</v>
      </c>
      <c r="E222" s="25"/>
      <c r="F222" s="18"/>
    </row>
    <row r="223" ht="15.75" customHeight="1">
      <c r="A223" s="12" t="s">
        <v>61</v>
      </c>
      <c r="B223" s="8"/>
      <c r="C223" s="9">
        <v>200.0</v>
      </c>
      <c r="D223" s="9">
        <v>299.0</v>
      </c>
      <c r="E223" s="25"/>
      <c r="F223" s="11"/>
    </row>
    <row r="224" ht="15.75" customHeight="1">
      <c r="A224" s="19" t="s">
        <v>61</v>
      </c>
      <c r="B224" s="16"/>
      <c r="C224" s="17">
        <v>500.0</v>
      </c>
      <c r="D224" s="17" t="s">
        <v>54</v>
      </c>
      <c r="E224" s="25"/>
      <c r="F224" s="18"/>
    </row>
    <row r="225" ht="15.75" customHeight="1">
      <c r="A225" s="7" t="s">
        <v>62</v>
      </c>
      <c r="B225" s="8" t="s">
        <v>63</v>
      </c>
      <c r="C225" s="9">
        <v>50.0</v>
      </c>
      <c r="D225" s="9">
        <v>99.0</v>
      </c>
      <c r="E225" s="25"/>
      <c r="F225" s="11" t="s">
        <v>53</v>
      </c>
    </row>
    <row r="226" ht="15.75" customHeight="1">
      <c r="A226" s="19" t="s">
        <v>62</v>
      </c>
      <c r="B226" s="16" t="s">
        <v>63</v>
      </c>
      <c r="C226" s="17">
        <v>100.0</v>
      </c>
      <c r="D226" s="17">
        <v>199.0</v>
      </c>
      <c r="E226" s="25"/>
      <c r="F226" s="18"/>
    </row>
    <row r="227" ht="15.75" customHeight="1">
      <c r="A227" s="12" t="s">
        <v>62</v>
      </c>
      <c r="B227" s="8" t="s">
        <v>63</v>
      </c>
      <c r="C227" s="9">
        <v>200.0</v>
      </c>
      <c r="D227" s="9">
        <v>299.0</v>
      </c>
      <c r="E227" s="25"/>
      <c r="F227" s="11"/>
    </row>
    <row r="228" ht="15.75" customHeight="1">
      <c r="A228" s="19" t="s">
        <v>62</v>
      </c>
      <c r="B228" s="16" t="s">
        <v>63</v>
      </c>
      <c r="C228" s="17">
        <v>500.0</v>
      </c>
      <c r="D228" s="17" t="s">
        <v>54</v>
      </c>
      <c r="E228" s="25"/>
      <c r="F228" s="18"/>
    </row>
    <row r="229" ht="15.75" customHeight="1">
      <c r="A229" s="7" t="s">
        <v>64</v>
      </c>
      <c r="B229" s="8" t="s">
        <v>65</v>
      </c>
      <c r="C229" s="9">
        <v>50.0</v>
      </c>
      <c r="D229" s="9">
        <v>99.0</v>
      </c>
      <c r="E229" s="25"/>
      <c r="F229" s="11" t="s">
        <v>53</v>
      </c>
    </row>
    <row r="230" ht="15.75" customHeight="1">
      <c r="A230" s="19" t="s">
        <v>64</v>
      </c>
      <c r="B230" s="16" t="s">
        <v>65</v>
      </c>
      <c r="C230" s="17">
        <v>100.0</v>
      </c>
      <c r="D230" s="17">
        <v>199.0</v>
      </c>
      <c r="E230" s="25"/>
      <c r="F230" s="18"/>
    </row>
    <row r="231" ht="15.75" customHeight="1">
      <c r="A231" s="12" t="s">
        <v>64</v>
      </c>
      <c r="B231" s="8" t="s">
        <v>65</v>
      </c>
      <c r="C231" s="9">
        <v>200.0</v>
      </c>
      <c r="D231" s="9">
        <v>299.0</v>
      </c>
      <c r="E231" s="25"/>
      <c r="F231" s="11"/>
    </row>
    <row r="232" ht="15.75" customHeight="1">
      <c r="A232" s="19" t="s">
        <v>64</v>
      </c>
      <c r="B232" s="16" t="s">
        <v>65</v>
      </c>
      <c r="C232" s="17">
        <v>500.0</v>
      </c>
      <c r="D232" s="17" t="s">
        <v>54</v>
      </c>
      <c r="E232" s="25"/>
      <c r="F232" s="18"/>
    </row>
    <row r="233" ht="15.75" customHeight="1">
      <c r="A233" s="7" t="s">
        <v>66</v>
      </c>
      <c r="B233" s="8" t="s">
        <v>67</v>
      </c>
      <c r="C233" s="9">
        <v>50.0</v>
      </c>
      <c r="D233" s="9">
        <v>99.0</v>
      </c>
      <c r="E233" s="25"/>
      <c r="F233" s="11" t="s">
        <v>53</v>
      </c>
    </row>
    <row r="234" ht="15.75" customHeight="1">
      <c r="A234" s="19" t="s">
        <v>66</v>
      </c>
      <c r="B234" s="16" t="s">
        <v>67</v>
      </c>
      <c r="C234" s="17">
        <v>100.0</v>
      </c>
      <c r="D234" s="17">
        <v>199.0</v>
      </c>
      <c r="E234" s="25"/>
      <c r="F234" s="18"/>
    </row>
    <row r="235" ht="15.75" customHeight="1">
      <c r="A235" s="12" t="s">
        <v>66</v>
      </c>
      <c r="B235" s="8" t="s">
        <v>67</v>
      </c>
      <c r="C235" s="9">
        <v>200.0</v>
      </c>
      <c r="D235" s="9">
        <v>299.0</v>
      </c>
      <c r="E235" s="25"/>
      <c r="F235" s="11"/>
    </row>
    <row r="236" ht="15.75" customHeight="1">
      <c r="A236" s="19" t="s">
        <v>66</v>
      </c>
      <c r="B236" s="16" t="s">
        <v>67</v>
      </c>
      <c r="C236" s="17">
        <v>500.0</v>
      </c>
      <c r="D236" s="17" t="s">
        <v>54</v>
      </c>
      <c r="E236" s="25"/>
      <c r="F236" s="18"/>
    </row>
    <row r="237" ht="15.75" customHeight="1">
      <c r="A237" s="7" t="s">
        <v>68</v>
      </c>
      <c r="B237" s="8" t="s">
        <v>69</v>
      </c>
      <c r="C237" s="9">
        <v>50.0</v>
      </c>
      <c r="D237" s="9">
        <v>99.0</v>
      </c>
      <c r="E237" s="25"/>
      <c r="F237" s="11" t="s">
        <v>53</v>
      </c>
    </row>
    <row r="238" ht="15.75" customHeight="1">
      <c r="A238" s="19" t="s">
        <v>68</v>
      </c>
      <c r="B238" s="16" t="s">
        <v>69</v>
      </c>
      <c r="C238" s="17">
        <v>100.0</v>
      </c>
      <c r="D238" s="17">
        <v>199.0</v>
      </c>
      <c r="E238" s="25"/>
      <c r="F238" s="18"/>
    </row>
    <row r="239" ht="15.75" customHeight="1">
      <c r="A239" s="12" t="s">
        <v>68</v>
      </c>
      <c r="B239" s="8" t="s">
        <v>69</v>
      </c>
      <c r="C239" s="9">
        <v>200.0</v>
      </c>
      <c r="D239" s="9">
        <v>299.0</v>
      </c>
      <c r="E239" s="25"/>
      <c r="F239" s="11"/>
    </row>
    <row r="240" ht="15.75" customHeight="1">
      <c r="A240" s="19" t="s">
        <v>68</v>
      </c>
      <c r="B240" s="16" t="s">
        <v>69</v>
      </c>
      <c r="C240" s="17">
        <v>500.0</v>
      </c>
      <c r="D240" s="17" t="s">
        <v>54</v>
      </c>
      <c r="E240" s="25"/>
      <c r="F240" s="18"/>
    </row>
    <row r="241" ht="15.75" customHeight="1">
      <c r="A241" s="7" t="s">
        <v>70</v>
      </c>
      <c r="B241" s="8" t="s">
        <v>71</v>
      </c>
      <c r="C241" s="9">
        <v>50.0</v>
      </c>
      <c r="D241" s="9">
        <v>99.0</v>
      </c>
      <c r="E241" s="25"/>
      <c r="F241" s="11" t="s">
        <v>53</v>
      </c>
    </row>
    <row r="242" ht="15.75" customHeight="1">
      <c r="A242" s="19" t="s">
        <v>70</v>
      </c>
      <c r="B242" s="16" t="s">
        <v>71</v>
      </c>
      <c r="C242" s="17">
        <v>100.0</v>
      </c>
      <c r="D242" s="17">
        <v>199.0</v>
      </c>
      <c r="E242" s="25"/>
      <c r="F242" s="18"/>
    </row>
    <row r="243" ht="15.75" customHeight="1">
      <c r="A243" s="12" t="s">
        <v>70</v>
      </c>
      <c r="B243" s="8" t="s">
        <v>71</v>
      </c>
      <c r="C243" s="9">
        <v>200.0</v>
      </c>
      <c r="D243" s="9">
        <v>299.0</v>
      </c>
      <c r="E243" s="25"/>
      <c r="F243" s="11"/>
    </row>
    <row r="244" ht="15.75" customHeight="1">
      <c r="A244" s="19" t="s">
        <v>70</v>
      </c>
      <c r="B244" s="16" t="s">
        <v>71</v>
      </c>
      <c r="C244" s="17">
        <v>500.0</v>
      </c>
      <c r="D244" s="17" t="s">
        <v>54</v>
      </c>
      <c r="E244" s="25"/>
      <c r="F244" s="18"/>
    </row>
    <row r="245" ht="15.75" customHeight="1">
      <c r="A245" s="7" t="s">
        <v>72</v>
      </c>
      <c r="B245" s="8" t="s">
        <v>73</v>
      </c>
      <c r="C245" s="9">
        <v>50.0</v>
      </c>
      <c r="D245" s="9">
        <v>99.0</v>
      </c>
      <c r="E245" s="25"/>
      <c r="F245" s="11" t="s">
        <v>53</v>
      </c>
    </row>
    <row r="246" ht="15.75" customHeight="1">
      <c r="A246" s="19" t="s">
        <v>72</v>
      </c>
      <c r="B246" s="16" t="s">
        <v>73</v>
      </c>
      <c r="C246" s="17">
        <v>100.0</v>
      </c>
      <c r="D246" s="17">
        <v>199.0</v>
      </c>
      <c r="E246" s="25"/>
      <c r="F246" s="18"/>
    </row>
    <row r="247" ht="15.75" customHeight="1">
      <c r="A247" s="12" t="s">
        <v>72</v>
      </c>
      <c r="B247" s="8" t="s">
        <v>73</v>
      </c>
      <c r="C247" s="9">
        <v>200.0</v>
      </c>
      <c r="D247" s="9">
        <v>299.0</v>
      </c>
      <c r="E247" s="25"/>
      <c r="F247" s="11"/>
    </row>
    <row r="248" ht="15.75" customHeight="1">
      <c r="A248" s="19" t="s">
        <v>72</v>
      </c>
      <c r="B248" s="16" t="s">
        <v>73</v>
      </c>
      <c r="C248" s="17">
        <v>500.0</v>
      </c>
      <c r="D248" s="17" t="s">
        <v>54</v>
      </c>
      <c r="E248" s="25"/>
      <c r="F248" s="18"/>
    </row>
    <row r="249" ht="15.75" customHeight="1">
      <c r="A249" s="7" t="s">
        <v>74</v>
      </c>
      <c r="B249" s="8" t="s">
        <v>75</v>
      </c>
      <c r="C249" s="9">
        <v>50.0</v>
      </c>
      <c r="D249" s="9">
        <v>99.0</v>
      </c>
      <c r="E249" s="25"/>
      <c r="F249" s="11" t="s">
        <v>53</v>
      </c>
    </row>
    <row r="250" ht="15.75" customHeight="1">
      <c r="A250" s="19" t="s">
        <v>74</v>
      </c>
      <c r="B250" s="16" t="s">
        <v>75</v>
      </c>
      <c r="C250" s="17">
        <v>100.0</v>
      </c>
      <c r="D250" s="17">
        <v>199.0</v>
      </c>
      <c r="E250" s="25"/>
      <c r="F250" s="18"/>
    </row>
    <row r="251" ht="15.75" customHeight="1">
      <c r="A251" s="12" t="s">
        <v>74</v>
      </c>
      <c r="B251" s="8" t="s">
        <v>75</v>
      </c>
      <c r="C251" s="9">
        <v>200.0</v>
      </c>
      <c r="D251" s="9">
        <v>299.0</v>
      </c>
      <c r="E251" s="25"/>
      <c r="F251" s="11"/>
    </row>
    <row r="252" ht="15.75" customHeight="1">
      <c r="A252" s="19" t="s">
        <v>74</v>
      </c>
      <c r="B252" s="16" t="s">
        <v>75</v>
      </c>
      <c r="C252" s="17">
        <v>500.0</v>
      </c>
      <c r="D252" s="17" t="s">
        <v>54</v>
      </c>
      <c r="E252" s="25"/>
      <c r="F252" s="18"/>
    </row>
    <row r="253" ht="15.75" customHeight="1">
      <c r="A253" s="7" t="s">
        <v>76</v>
      </c>
      <c r="B253" s="8" t="s">
        <v>77</v>
      </c>
      <c r="C253" s="9">
        <v>50.0</v>
      </c>
      <c r="D253" s="9">
        <v>99.0</v>
      </c>
      <c r="E253" s="25"/>
      <c r="F253" s="11" t="s">
        <v>53</v>
      </c>
    </row>
    <row r="254" ht="15.75" customHeight="1">
      <c r="A254" s="19" t="s">
        <v>76</v>
      </c>
      <c r="B254" s="16" t="s">
        <v>77</v>
      </c>
      <c r="C254" s="17">
        <v>100.0</v>
      </c>
      <c r="D254" s="17">
        <v>199.0</v>
      </c>
      <c r="E254" s="25"/>
      <c r="F254" s="18"/>
    </row>
    <row r="255" ht="15.75" customHeight="1">
      <c r="A255" s="12" t="s">
        <v>76</v>
      </c>
      <c r="B255" s="8" t="s">
        <v>77</v>
      </c>
      <c r="C255" s="9">
        <v>200.0</v>
      </c>
      <c r="D255" s="9">
        <v>299.0</v>
      </c>
      <c r="E255" s="25"/>
      <c r="F255" s="11"/>
    </row>
    <row r="256" ht="15.75" customHeight="1">
      <c r="A256" s="19" t="s">
        <v>76</v>
      </c>
      <c r="B256" s="16" t="s">
        <v>77</v>
      </c>
      <c r="C256" s="17">
        <v>500.0</v>
      </c>
      <c r="D256" s="17" t="s">
        <v>54</v>
      </c>
      <c r="E256" s="25"/>
      <c r="F256" s="18"/>
    </row>
    <row r="257" ht="15.75" customHeight="1">
      <c r="A257" s="7" t="s">
        <v>78</v>
      </c>
      <c r="B257" s="8" t="s">
        <v>79</v>
      </c>
      <c r="C257" s="9">
        <v>50.0</v>
      </c>
      <c r="D257" s="9">
        <v>99.0</v>
      </c>
      <c r="E257" s="25"/>
      <c r="F257" s="11" t="s">
        <v>53</v>
      </c>
    </row>
    <row r="258" ht="15.75" customHeight="1">
      <c r="A258" s="19" t="s">
        <v>78</v>
      </c>
      <c r="B258" s="16" t="s">
        <v>79</v>
      </c>
      <c r="C258" s="17">
        <v>100.0</v>
      </c>
      <c r="D258" s="17">
        <v>199.0</v>
      </c>
      <c r="E258" s="25"/>
      <c r="F258" s="18"/>
    </row>
    <row r="259" ht="15.75" customHeight="1">
      <c r="A259" s="12" t="s">
        <v>78</v>
      </c>
      <c r="B259" s="8" t="s">
        <v>79</v>
      </c>
      <c r="C259" s="9">
        <v>200.0</v>
      </c>
      <c r="D259" s="9">
        <v>299.0</v>
      </c>
      <c r="E259" s="25"/>
      <c r="F259" s="11"/>
    </row>
    <row r="260" ht="15.75" customHeight="1">
      <c r="A260" s="19" t="s">
        <v>78</v>
      </c>
      <c r="B260" s="16" t="s">
        <v>79</v>
      </c>
      <c r="C260" s="17">
        <v>500.0</v>
      </c>
      <c r="D260" s="17" t="s">
        <v>54</v>
      </c>
      <c r="E260" s="25"/>
      <c r="F260" s="18"/>
    </row>
    <row r="261" ht="15.75" customHeight="1">
      <c r="A261" s="7" t="s">
        <v>80</v>
      </c>
      <c r="B261" s="8" t="s">
        <v>81</v>
      </c>
      <c r="C261" s="9">
        <v>50.0</v>
      </c>
      <c r="D261" s="9">
        <v>99.0</v>
      </c>
      <c r="E261" s="25"/>
      <c r="F261" s="11" t="s">
        <v>53</v>
      </c>
    </row>
    <row r="262" ht="15.75" customHeight="1">
      <c r="A262" s="19" t="s">
        <v>80</v>
      </c>
      <c r="B262" s="16" t="s">
        <v>81</v>
      </c>
      <c r="C262" s="17">
        <v>100.0</v>
      </c>
      <c r="D262" s="17">
        <v>199.0</v>
      </c>
      <c r="E262" s="25"/>
      <c r="F262" s="18"/>
    </row>
    <row r="263" ht="15.75" customHeight="1">
      <c r="A263" s="12" t="s">
        <v>80</v>
      </c>
      <c r="B263" s="8" t="s">
        <v>81</v>
      </c>
      <c r="C263" s="9">
        <v>200.0</v>
      </c>
      <c r="D263" s="9">
        <v>299.0</v>
      </c>
      <c r="E263" s="25"/>
      <c r="F263" s="11"/>
    </row>
    <row r="264" ht="15.75" customHeight="1">
      <c r="A264" s="19" t="s">
        <v>80</v>
      </c>
      <c r="B264" s="16" t="s">
        <v>81</v>
      </c>
      <c r="C264" s="17">
        <v>500.0</v>
      </c>
      <c r="D264" s="17" t="s">
        <v>54</v>
      </c>
      <c r="E264" s="25"/>
      <c r="F264" s="18"/>
    </row>
    <row r="265" ht="15.75" customHeight="1">
      <c r="A265" s="7" t="s">
        <v>82</v>
      </c>
      <c r="B265" s="8" t="s">
        <v>83</v>
      </c>
      <c r="C265" s="9">
        <v>50.0</v>
      </c>
      <c r="D265" s="9">
        <v>99.0</v>
      </c>
      <c r="E265" s="25"/>
      <c r="F265" s="11" t="s">
        <v>53</v>
      </c>
    </row>
    <row r="266" ht="15.75" customHeight="1">
      <c r="A266" s="19" t="s">
        <v>82</v>
      </c>
      <c r="B266" s="16" t="s">
        <v>83</v>
      </c>
      <c r="C266" s="17">
        <v>100.0</v>
      </c>
      <c r="D266" s="17">
        <v>199.0</v>
      </c>
      <c r="E266" s="25"/>
      <c r="F266" s="18"/>
    </row>
    <row r="267" ht="15.75" customHeight="1">
      <c r="A267" s="12" t="s">
        <v>82</v>
      </c>
      <c r="B267" s="8" t="s">
        <v>83</v>
      </c>
      <c r="C267" s="9">
        <v>200.0</v>
      </c>
      <c r="D267" s="9">
        <v>299.0</v>
      </c>
      <c r="E267" s="25"/>
      <c r="F267" s="11"/>
    </row>
    <row r="268" ht="15.75" customHeight="1">
      <c r="A268" s="19" t="s">
        <v>82</v>
      </c>
      <c r="B268" s="16" t="s">
        <v>83</v>
      </c>
      <c r="C268" s="17">
        <v>500.0</v>
      </c>
      <c r="D268" s="17" t="s">
        <v>54</v>
      </c>
      <c r="E268" s="25"/>
      <c r="F268" s="18"/>
    </row>
    <row r="269" ht="15.75" customHeight="1">
      <c r="A269" s="7" t="s">
        <v>84</v>
      </c>
      <c r="B269" s="8" t="s">
        <v>85</v>
      </c>
      <c r="C269" s="9">
        <v>50.0</v>
      </c>
      <c r="D269" s="9">
        <v>99.0</v>
      </c>
      <c r="E269" s="25"/>
      <c r="F269" s="11" t="s">
        <v>53</v>
      </c>
    </row>
    <row r="270" ht="15.75" customHeight="1">
      <c r="A270" s="19" t="s">
        <v>84</v>
      </c>
      <c r="B270" s="16" t="s">
        <v>85</v>
      </c>
      <c r="C270" s="17">
        <v>100.0</v>
      </c>
      <c r="D270" s="17">
        <v>199.0</v>
      </c>
      <c r="E270" s="25"/>
      <c r="F270" s="18"/>
    </row>
    <row r="271" ht="15.75" customHeight="1">
      <c r="A271" s="12" t="s">
        <v>84</v>
      </c>
      <c r="B271" s="8" t="s">
        <v>85</v>
      </c>
      <c r="C271" s="9">
        <v>200.0</v>
      </c>
      <c r="D271" s="9">
        <v>299.0</v>
      </c>
      <c r="E271" s="25"/>
      <c r="F271" s="11"/>
    </row>
    <row r="272" ht="15.75" customHeight="1">
      <c r="A272" s="19" t="s">
        <v>84</v>
      </c>
      <c r="B272" s="16" t="s">
        <v>85</v>
      </c>
      <c r="C272" s="17">
        <v>500.0</v>
      </c>
      <c r="D272" s="17" t="s">
        <v>54</v>
      </c>
      <c r="E272" s="25"/>
      <c r="F272" s="18"/>
    </row>
    <row r="273" ht="15.75" customHeight="1">
      <c r="A273" s="7" t="s">
        <v>86</v>
      </c>
      <c r="B273" s="8" t="s">
        <v>87</v>
      </c>
      <c r="C273" s="9">
        <v>50.0</v>
      </c>
      <c r="D273" s="9">
        <v>99.0</v>
      </c>
      <c r="E273" s="25"/>
      <c r="F273" s="11" t="s">
        <v>53</v>
      </c>
    </row>
    <row r="274" ht="15.75" customHeight="1">
      <c r="A274" s="19" t="s">
        <v>86</v>
      </c>
      <c r="B274" s="16" t="s">
        <v>87</v>
      </c>
      <c r="C274" s="17">
        <v>100.0</v>
      </c>
      <c r="D274" s="17">
        <v>199.0</v>
      </c>
      <c r="E274" s="25"/>
      <c r="F274" s="18"/>
    </row>
    <row r="275" ht="15.75" customHeight="1">
      <c r="A275" s="12" t="s">
        <v>86</v>
      </c>
      <c r="B275" s="8" t="s">
        <v>87</v>
      </c>
      <c r="C275" s="9">
        <v>200.0</v>
      </c>
      <c r="D275" s="9">
        <v>299.0</v>
      </c>
      <c r="E275" s="25"/>
      <c r="F275" s="11"/>
    </row>
    <row r="276" ht="15.75" customHeight="1">
      <c r="A276" s="19" t="s">
        <v>86</v>
      </c>
      <c r="B276" s="16" t="s">
        <v>87</v>
      </c>
      <c r="C276" s="17">
        <v>500.0</v>
      </c>
      <c r="D276" s="17" t="s">
        <v>54</v>
      </c>
      <c r="E276" s="25"/>
      <c r="F276" s="18"/>
    </row>
    <row r="277" ht="15.75" customHeight="1">
      <c r="A277" s="7" t="s">
        <v>88</v>
      </c>
      <c r="B277" s="8" t="s">
        <v>89</v>
      </c>
      <c r="C277" s="9">
        <v>50.0</v>
      </c>
      <c r="D277" s="9">
        <v>99.0</v>
      </c>
      <c r="E277" s="25"/>
      <c r="F277" s="11" t="s">
        <v>53</v>
      </c>
    </row>
    <row r="278" ht="15.75" customHeight="1">
      <c r="A278" s="19" t="s">
        <v>88</v>
      </c>
      <c r="B278" s="16" t="s">
        <v>89</v>
      </c>
      <c r="C278" s="17">
        <v>100.0</v>
      </c>
      <c r="D278" s="17">
        <v>199.0</v>
      </c>
      <c r="E278" s="25"/>
      <c r="F278" s="18"/>
    </row>
    <row r="279" ht="15.75" customHeight="1">
      <c r="A279" s="12" t="s">
        <v>88</v>
      </c>
      <c r="B279" s="8" t="s">
        <v>89</v>
      </c>
      <c r="C279" s="9">
        <v>200.0</v>
      </c>
      <c r="D279" s="9">
        <v>299.0</v>
      </c>
      <c r="E279" s="25"/>
      <c r="F279" s="11"/>
    </row>
    <row r="280" ht="15.75" customHeight="1">
      <c r="A280" s="19" t="s">
        <v>88</v>
      </c>
      <c r="B280" s="16" t="s">
        <v>89</v>
      </c>
      <c r="C280" s="17">
        <v>500.0</v>
      </c>
      <c r="D280" s="17" t="s">
        <v>54</v>
      </c>
      <c r="E280" s="25"/>
      <c r="F280" s="18"/>
    </row>
    <row r="281" ht="15.75" customHeight="1">
      <c r="A281" s="7" t="s">
        <v>90</v>
      </c>
      <c r="B281" s="8" t="s">
        <v>91</v>
      </c>
      <c r="C281" s="9">
        <v>50.0</v>
      </c>
      <c r="D281" s="9">
        <v>99.0</v>
      </c>
      <c r="E281" s="25"/>
      <c r="F281" s="11" t="s">
        <v>53</v>
      </c>
    </row>
    <row r="282" ht="15.75" customHeight="1">
      <c r="A282" s="19" t="s">
        <v>90</v>
      </c>
      <c r="B282" s="16" t="s">
        <v>91</v>
      </c>
      <c r="C282" s="17">
        <v>100.0</v>
      </c>
      <c r="D282" s="17">
        <v>199.0</v>
      </c>
      <c r="E282" s="25"/>
      <c r="F282" s="18"/>
    </row>
    <row r="283" ht="15.75" customHeight="1">
      <c r="A283" s="12" t="s">
        <v>90</v>
      </c>
      <c r="B283" s="8" t="s">
        <v>91</v>
      </c>
      <c r="C283" s="9">
        <v>200.0</v>
      </c>
      <c r="D283" s="9">
        <v>299.0</v>
      </c>
      <c r="E283" s="25"/>
      <c r="F283" s="11"/>
    </row>
    <row r="284" ht="15.75" customHeight="1">
      <c r="A284" s="19" t="s">
        <v>90</v>
      </c>
      <c r="B284" s="16" t="s">
        <v>91</v>
      </c>
      <c r="C284" s="17">
        <v>500.0</v>
      </c>
      <c r="D284" s="17" t="s">
        <v>54</v>
      </c>
      <c r="E284" s="25"/>
      <c r="F284" s="18"/>
    </row>
    <row r="285" ht="15.75" customHeight="1">
      <c r="A285" s="20" t="s">
        <v>92</v>
      </c>
      <c r="B285" s="16"/>
      <c r="C285" s="17">
        <v>50.0</v>
      </c>
      <c r="D285" s="17">
        <v>99.0</v>
      </c>
      <c r="E285" s="10">
        <v>5690.0</v>
      </c>
      <c r="F285" s="18"/>
    </row>
    <row r="286" ht="15.75" customHeight="1">
      <c r="A286" s="19" t="s">
        <v>93</v>
      </c>
      <c r="B286" s="16"/>
      <c r="C286" s="17">
        <v>100.0</v>
      </c>
      <c r="D286" s="17">
        <v>199.0</v>
      </c>
      <c r="E286" s="23"/>
      <c r="F286" s="18"/>
    </row>
    <row r="287" ht="15.75" customHeight="1">
      <c r="A287" s="19" t="s">
        <v>93</v>
      </c>
      <c r="B287" s="16"/>
      <c r="C287" s="17">
        <v>200.0</v>
      </c>
      <c r="D287" s="17">
        <v>299.0</v>
      </c>
      <c r="E287" s="22"/>
      <c r="F287" s="18"/>
    </row>
    <row r="288" ht="15.75" customHeight="1">
      <c r="A288" s="19" t="s">
        <v>93</v>
      </c>
      <c r="B288" s="16"/>
      <c r="C288" s="17">
        <v>500.0</v>
      </c>
      <c r="D288" s="17">
        <v>999.0</v>
      </c>
      <c r="E288" s="23"/>
      <c r="F288" s="18"/>
    </row>
    <row r="289" ht="15.75" customHeight="1">
      <c r="A289" s="20" t="s">
        <v>94</v>
      </c>
      <c r="B289" s="16"/>
      <c r="C289" s="17">
        <v>50.0</v>
      </c>
      <c r="D289" s="17">
        <v>99.0</v>
      </c>
      <c r="E289" s="10">
        <v>6790.0</v>
      </c>
      <c r="F289" s="18"/>
    </row>
    <row r="290" ht="15.75" customHeight="1">
      <c r="A290" s="19" t="s">
        <v>93</v>
      </c>
      <c r="B290" s="16"/>
      <c r="C290" s="17">
        <v>100.0</v>
      </c>
      <c r="D290" s="17">
        <v>199.0</v>
      </c>
      <c r="E290" s="13">
        <v>6490.0</v>
      </c>
      <c r="F290" s="18"/>
    </row>
    <row r="291" ht="15.75" customHeight="1">
      <c r="A291" s="19" t="s">
        <v>93</v>
      </c>
      <c r="B291" s="16"/>
      <c r="C291" s="17">
        <v>200.0</v>
      </c>
      <c r="D291" s="24">
        <v>499.0</v>
      </c>
      <c r="E291" s="10">
        <v>5790.0</v>
      </c>
      <c r="F291" s="18"/>
    </row>
    <row r="292" ht="15.75" customHeight="1">
      <c r="A292" s="19" t="s">
        <v>93</v>
      </c>
      <c r="B292" s="16"/>
      <c r="C292" s="17">
        <v>500.0</v>
      </c>
      <c r="D292" s="17">
        <v>999.0</v>
      </c>
      <c r="E292" s="13">
        <v>5590.0</v>
      </c>
      <c r="F292" s="18"/>
    </row>
    <row r="293" ht="15.75" customHeight="1">
      <c r="A293" s="21" t="s">
        <v>95</v>
      </c>
      <c r="B293" s="8"/>
      <c r="C293" s="9">
        <v>50.0</v>
      </c>
      <c r="D293" s="9">
        <v>99.0</v>
      </c>
      <c r="E293" s="28">
        <v>1999.0</v>
      </c>
      <c r="F293" s="11"/>
    </row>
    <row r="294" ht="15.75" customHeight="1">
      <c r="A294" s="21" t="s">
        <v>95</v>
      </c>
      <c r="B294" s="8"/>
      <c r="C294" s="9">
        <v>100.0</v>
      </c>
      <c r="D294" s="9">
        <v>199.0</v>
      </c>
      <c r="E294" s="28">
        <v>1490.0</v>
      </c>
      <c r="F294" s="11"/>
    </row>
    <row r="295" ht="15.75" customHeight="1">
      <c r="A295" s="21" t="s">
        <v>95</v>
      </c>
      <c r="B295" s="8"/>
      <c r="C295" s="9">
        <v>200.0</v>
      </c>
      <c r="D295" s="14">
        <v>499.0</v>
      </c>
      <c r="E295" s="28">
        <v>1290.0</v>
      </c>
      <c r="F295" s="11"/>
    </row>
    <row r="296" ht="15.75" customHeight="1">
      <c r="A296" s="21" t="s">
        <v>95</v>
      </c>
      <c r="B296" s="8"/>
      <c r="C296" s="9">
        <v>500.0</v>
      </c>
      <c r="D296" s="9">
        <v>999.0</v>
      </c>
      <c r="E296" s="28">
        <v>1090.0</v>
      </c>
      <c r="F296" s="11"/>
    </row>
    <row r="297" ht="15.75" customHeight="1">
      <c r="C297" s="9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</sheetData>
  <mergeCells count="3">
    <mergeCell ref="A1:F1"/>
    <mergeCell ref="A2:F2"/>
    <mergeCell ref="A192:F19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8.0"/>
    <col customWidth="1" min="3" max="3" width="13.0"/>
    <col customWidth="1" min="4" max="4" width="28.0"/>
    <col customWidth="1" min="5" max="5" width="24.0"/>
    <col customWidth="1" min="6" max="9" width="11.0"/>
    <col customWidth="1" min="10" max="10" width="16.0"/>
    <col customWidth="1" min="11" max="26" width="8.71"/>
  </cols>
  <sheetData>
    <row r="1" ht="27.75" customHeight="1">
      <c r="A1" s="1" t="s">
        <v>96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97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98</v>
      </c>
      <c r="C3" s="5" t="s">
        <v>99</v>
      </c>
      <c r="D3" s="5" t="s">
        <v>100</v>
      </c>
      <c r="E3" s="5" t="s">
        <v>101</v>
      </c>
      <c r="F3" s="5" t="s">
        <v>102</v>
      </c>
      <c r="G3" s="5" t="s">
        <v>103</v>
      </c>
      <c r="H3" s="5" t="s">
        <v>104</v>
      </c>
      <c r="I3" s="5" t="s">
        <v>105</v>
      </c>
      <c r="J3" s="5" t="s">
        <v>106</v>
      </c>
    </row>
    <row r="4">
      <c r="A4" s="29" t="s">
        <v>8</v>
      </c>
      <c r="B4" s="30" t="s">
        <v>107</v>
      </c>
      <c r="C4" s="31" t="s">
        <v>108</v>
      </c>
      <c r="D4" s="32" t="s">
        <v>109</v>
      </c>
      <c r="E4" s="32" t="s">
        <v>110</v>
      </c>
      <c r="F4" s="33">
        <v>960.0</v>
      </c>
      <c r="G4" s="33">
        <v>850.0</v>
      </c>
      <c r="H4" s="33">
        <v>750.0</v>
      </c>
      <c r="I4" s="33">
        <v>700.0</v>
      </c>
      <c r="J4" s="34"/>
    </row>
    <row r="5">
      <c r="A5" s="31" t="s">
        <v>8</v>
      </c>
      <c r="B5" s="30" t="s">
        <v>107</v>
      </c>
      <c r="C5" s="31" t="s">
        <v>108</v>
      </c>
      <c r="D5" s="32" t="s">
        <v>109</v>
      </c>
      <c r="E5" s="32" t="s">
        <v>111</v>
      </c>
      <c r="F5" s="33">
        <v>1400.0</v>
      </c>
      <c r="G5" s="33">
        <v>1360.0</v>
      </c>
      <c r="H5" s="33">
        <v>1200.0</v>
      </c>
      <c r="I5" s="33">
        <v>1100.0</v>
      </c>
      <c r="J5" s="34"/>
    </row>
    <row r="6">
      <c r="A6" s="31" t="s">
        <v>8</v>
      </c>
      <c r="B6" s="30" t="s">
        <v>107</v>
      </c>
      <c r="C6" s="31" t="s">
        <v>108</v>
      </c>
      <c r="D6" s="32" t="s">
        <v>109</v>
      </c>
      <c r="E6" s="32" t="s">
        <v>112</v>
      </c>
      <c r="F6" s="33">
        <v>2200.0</v>
      </c>
      <c r="G6" s="33">
        <v>1890.0</v>
      </c>
      <c r="H6" s="33">
        <v>1600.0</v>
      </c>
      <c r="I6" s="33">
        <v>1450.0</v>
      </c>
      <c r="J6" s="34"/>
    </row>
    <row r="7">
      <c r="A7" s="31" t="s">
        <v>8</v>
      </c>
      <c r="B7" s="30" t="s">
        <v>107</v>
      </c>
      <c r="C7" s="31" t="s">
        <v>108</v>
      </c>
      <c r="D7" s="32" t="s">
        <v>113</v>
      </c>
      <c r="E7" s="32" t="s">
        <v>112</v>
      </c>
      <c r="F7" s="33">
        <v>3200.0</v>
      </c>
      <c r="G7" s="33">
        <v>2800.0</v>
      </c>
      <c r="H7" s="33">
        <v>2600.0</v>
      </c>
      <c r="I7" s="33">
        <v>2400.0</v>
      </c>
      <c r="J7" s="34"/>
    </row>
    <row r="8">
      <c r="A8" s="31" t="s">
        <v>8</v>
      </c>
      <c r="B8" s="30" t="s">
        <v>107</v>
      </c>
      <c r="C8" s="31" t="s">
        <v>108</v>
      </c>
      <c r="D8" s="32" t="s">
        <v>114</v>
      </c>
      <c r="E8" s="32" t="s">
        <v>112</v>
      </c>
      <c r="F8" s="33">
        <v>3500.0</v>
      </c>
      <c r="G8" s="33">
        <v>3000.0</v>
      </c>
      <c r="H8" s="33">
        <v>2700.0</v>
      </c>
      <c r="I8" s="33">
        <v>2500.0</v>
      </c>
      <c r="J8" s="34"/>
    </row>
    <row r="9">
      <c r="A9" s="35" t="s">
        <v>8</v>
      </c>
      <c r="B9" s="36" t="s">
        <v>107</v>
      </c>
      <c r="C9" s="35" t="s">
        <v>115</v>
      </c>
      <c r="D9" s="37" t="s">
        <v>109</v>
      </c>
      <c r="E9" s="37" t="s">
        <v>110</v>
      </c>
      <c r="F9" s="38">
        <v>1200.0</v>
      </c>
      <c r="G9" s="38">
        <v>1100.0</v>
      </c>
      <c r="H9" s="38">
        <v>900.0</v>
      </c>
      <c r="I9" s="38">
        <v>800.0</v>
      </c>
      <c r="J9" s="39"/>
    </row>
    <row r="10">
      <c r="A10" s="35" t="s">
        <v>8</v>
      </c>
      <c r="B10" s="36" t="s">
        <v>107</v>
      </c>
      <c r="C10" s="35" t="s">
        <v>115</v>
      </c>
      <c r="D10" s="37" t="s">
        <v>109</v>
      </c>
      <c r="E10" s="37" t="s">
        <v>111</v>
      </c>
      <c r="F10" s="38">
        <v>1200.0</v>
      </c>
      <c r="G10" s="38">
        <v>1100.0</v>
      </c>
      <c r="H10" s="38">
        <v>900.0</v>
      </c>
      <c r="I10" s="38">
        <v>800.0</v>
      </c>
      <c r="J10" s="39"/>
    </row>
    <row r="11">
      <c r="A11" s="35" t="s">
        <v>8</v>
      </c>
      <c r="B11" s="36" t="s">
        <v>107</v>
      </c>
      <c r="C11" s="35" t="s">
        <v>115</v>
      </c>
      <c r="D11" s="37" t="s">
        <v>109</v>
      </c>
      <c r="E11" s="37" t="s">
        <v>116</v>
      </c>
      <c r="F11" s="38">
        <v>1200.0</v>
      </c>
      <c r="G11" s="38">
        <v>1100.0</v>
      </c>
      <c r="H11" s="38">
        <v>900.0</v>
      </c>
      <c r="I11" s="38">
        <v>800.0</v>
      </c>
      <c r="J11" s="39"/>
    </row>
    <row r="12">
      <c r="A12" s="35" t="s">
        <v>8</v>
      </c>
      <c r="B12" s="36" t="s">
        <v>107</v>
      </c>
      <c r="C12" s="35" t="s">
        <v>115</v>
      </c>
      <c r="D12" s="37" t="s">
        <v>113</v>
      </c>
      <c r="E12" s="37" t="s">
        <v>116</v>
      </c>
      <c r="F12" s="38">
        <v>2200.0</v>
      </c>
      <c r="G12" s="38">
        <v>1900.0</v>
      </c>
      <c r="H12" s="38">
        <v>1700.0</v>
      </c>
      <c r="I12" s="38">
        <v>1500.0</v>
      </c>
      <c r="J12" s="39"/>
    </row>
    <row r="13">
      <c r="A13" s="35" t="s">
        <v>8</v>
      </c>
      <c r="B13" s="36" t="s">
        <v>107</v>
      </c>
      <c r="C13" s="35" t="s">
        <v>115</v>
      </c>
      <c r="D13" s="37" t="s">
        <v>114</v>
      </c>
      <c r="E13" s="37" t="s">
        <v>116</v>
      </c>
      <c r="F13" s="38">
        <v>2000.0</v>
      </c>
      <c r="G13" s="38">
        <v>1600.0</v>
      </c>
      <c r="H13" s="38">
        <v>1400.0</v>
      </c>
      <c r="I13" s="38">
        <v>1300.0</v>
      </c>
      <c r="J13" s="39"/>
    </row>
    <row r="14">
      <c r="A14" s="31" t="s">
        <v>8</v>
      </c>
      <c r="B14" s="30" t="s">
        <v>117</v>
      </c>
      <c r="C14" s="31" t="s">
        <v>108</v>
      </c>
      <c r="D14" s="32" t="s">
        <v>109</v>
      </c>
      <c r="E14" s="32" t="s">
        <v>110</v>
      </c>
      <c r="F14" s="33">
        <v>1300.0</v>
      </c>
      <c r="G14" s="33">
        <v>980.0</v>
      </c>
      <c r="H14" s="33">
        <v>900.0</v>
      </c>
      <c r="I14" s="33">
        <v>840.0</v>
      </c>
      <c r="J14" s="34"/>
    </row>
    <row r="15">
      <c r="A15" s="31" t="s">
        <v>8</v>
      </c>
      <c r="B15" s="30" t="s">
        <v>117</v>
      </c>
      <c r="C15" s="31" t="s">
        <v>108</v>
      </c>
      <c r="D15" s="32" t="s">
        <v>109</v>
      </c>
      <c r="E15" s="32" t="s">
        <v>111</v>
      </c>
      <c r="F15" s="33">
        <v>2200.0</v>
      </c>
      <c r="G15" s="33">
        <v>1600.0</v>
      </c>
      <c r="H15" s="33">
        <v>1440.0</v>
      </c>
      <c r="I15" s="33">
        <v>1300.0</v>
      </c>
      <c r="J15" s="34"/>
    </row>
    <row r="16">
      <c r="A16" s="31" t="s">
        <v>8</v>
      </c>
      <c r="B16" s="30" t="s">
        <v>117</v>
      </c>
      <c r="C16" s="31" t="s">
        <v>108</v>
      </c>
      <c r="D16" s="32" t="s">
        <v>109</v>
      </c>
      <c r="E16" s="32" t="s">
        <v>112</v>
      </c>
      <c r="F16" s="33">
        <v>2900.0</v>
      </c>
      <c r="G16" s="25"/>
      <c r="H16" s="33">
        <v>1900.0</v>
      </c>
      <c r="I16" s="33">
        <v>1750.0</v>
      </c>
      <c r="J16" s="34"/>
    </row>
    <row r="17">
      <c r="A17" s="31" t="s">
        <v>8</v>
      </c>
      <c r="B17" s="30" t="s">
        <v>117</v>
      </c>
      <c r="C17" s="31" t="s">
        <v>108</v>
      </c>
      <c r="D17" s="32" t="s">
        <v>113</v>
      </c>
      <c r="E17" s="32" t="s">
        <v>112</v>
      </c>
      <c r="F17" s="33">
        <v>3900.0</v>
      </c>
      <c r="G17" s="33">
        <v>3150.0</v>
      </c>
      <c r="H17" s="33">
        <v>2900.0</v>
      </c>
      <c r="I17" s="33">
        <v>2650.0</v>
      </c>
      <c r="J17" s="34"/>
    </row>
    <row r="18">
      <c r="A18" s="31" t="s">
        <v>8</v>
      </c>
      <c r="B18" s="30" t="s">
        <v>117</v>
      </c>
      <c r="C18" s="31" t="s">
        <v>108</v>
      </c>
      <c r="D18" s="32" t="s">
        <v>114</v>
      </c>
      <c r="E18" s="32" t="s">
        <v>112</v>
      </c>
      <c r="F18" s="33">
        <v>3900.0</v>
      </c>
      <c r="G18" s="33">
        <v>3100.0</v>
      </c>
      <c r="H18" s="33">
        <v>2900.0</v>
      </c>
      <c r="I18" s="33">
        <v>2600.0</v>
      </c>
      <c r="J18" s="34"/>
    </row>
    <row r="19">
      <c r="A19" s="35" t="s">
        <v>8</v>
      </c>
      <c r="B19" s="36" t="s">
        <v>117</v>
      </c>
      <c r="C19" s="35" t="s">
        <v>115</v>
      </c>
      <c r="D19" s="37" t="s">
        <v>109</v>
      </c>
      <c r="E19" s="37" t="s">
        <v>110</v>
      </c>
      <c r="F19" s="38">
        <v>1200.0</v>
      </c>
      <c r="G19" s="38">
        <v>1100.0</v>
      </c>
      <c r="H19" s="38">
        <v>900.0</v>
      </c>
      <c r="I19" s="38">
        <v>800.0</v>
      </c>
      <c r="J19" s="39"/>
    </row>
    <row r="20">
      <c r="A20" s="35" t="s">
        <v>8</v>
      </c>
      <c r="B20" s="36" t="s">
        <v>117</v>
      </c>
      <c r="C20" s="35" t="s">
        <v>115</v>
      </c>
      <c r="D20" s="37" t="s">
        <v>109</v>
      </c>
      <c r="E20" s="37" t="s">
        <v>111</v>
      </c>
      <c r="F20" s="38">
        <v>1200.0</v>
      </c>
      <c r="G20" s="38">
        <v>1100.0</v>
      </c>
      <c r="H20" s="38">
        <v>900.0</v>
      </c>
      <c r="I20" s="38">
        <v>800.0</v>
      </c>
      <c r="J20" s="39"/>
    </row>
    <row r="21" ht="15.75" customHeight="1">
      <c r="A21" s="35" t="s">
        <v>8</v>
      </c>
      <c r="B21" s="36" t="s">
        <v>117</v>
      </c>
      <c r="C21" s="35" t="s">
        <v>115</v>
      </c>
      <c r="D21" s="37" t="s">
        <v>109</v>
      </c>
      <c r="E21" s="37" t="s">
        <v>116</v>
      </c>
      <c r="F21" s="38">
        <v>1200.0</v>
      </c>
      <c r="G21" s="38">
        <v>1100.0</v>
      </c>
      <c r="H21" s="38">
        <v>900.0</v>
      </c>
      <c r="I21" s="38">
        <v>800.0</v>
      </c>
      <c r="J21" s="39"/>
    </row>
    <row r="22" ht="15.75" customHeight="1">
      <c r="A22" s="35" t="s">
        <v>8</v>
      </c>
      <c r="B22" s="36" t="s">
        <v>117</v>
      </c>
      <c r="C22" s="35" t="s">
        <v>115</v>
      </c>
      <c r="D22" s="37" t="s">
        <v>113</v>
      </c>
      <c r="E22" s="37" t="s">
        <v>116</v>
      </c>
      <c r="F22" s="38">
        <v>2400.0</v>
      </c>
      <c r="G22" s="38">
        <v>1900.0</v>
      </c>
      <c r="H22" s="38">
        <v>1700.0</v>
      </c>
      <c r="I22" s="38">
        <v>1500.0</v>
      </c>
      <c r="J22" s="39"/>
    </row>
    <row r="23" ht="15.75" customHeight="1">
      <c r="A23" s="35" t="s">
        <v>8</v>
      </c>
      <c r="B23" s="36" t="s">
        <v>117</v>
      </c>
      <c r="C23" s="35" t="s">
        <v>115</v>
      </c>
      <c r="D23" s="37" t="s">
        <v>118</v>
      </c>
      <c r="E23" s="37" t="s">
        <v>116</v>
      </c>
      <c r="F23" s="38">
        <v>2000.0</v>
      </c>
      <c r="G23" s="38">
        <v>1800.0</v>
      </c>
      <c r="H23" s="38">
        <v>1600.0</v>
      </c>
      <c r="I23" s="38">
        <v>1400.0</v>
      </c>
      <c r="J23" s="39"/>
    </row>
    <row r="24" ht="15.75" customHeight="1">
      <c r="A24" s="40" t="s">
        <v>15</v>
      </c>
      <c r="B24" s="41"/>
      <c r="C24" s="42" t="s">
        <v>119</v>
      </c>
      <c r="D24" s="43" t="s">
        <v>109</v>
      </c>
      <c r="E24" s="44"/>
      <c r="F24" s="45">
        <f>1300*1.21</f>
        <v>1573</v>
      </c>
      <c r="G24" s="45">
        <f>1200*1.21</f>
        <v>1452</v>
      </c>
      <c r="H24" s="25"/>
      <c r="I24" s="25"/>
      <c r="J24" s="46"/>
    </row>
    <row r="25" ht="15.75" customHeight="1">
      <c r="A25" s="42" t="s">
        <v>15</v>
      </c>
      <c r="B25" s="41"/>
      <c r="C25" s="42" t="s">
        <v>119</v>
      </c>
      <c r="D25" s="43" t="s">
        <v>120</v>
      </c>
      <c r="E25" s="44"/>
      <c r="F25" s="45">
        <f>1900*1.21</f>
        <v>2299</v>
      </c>
      <c r="G25" s="45">
        <f>1800*1.21</f>
        <v>2178</v>
      </c>
      <c r="H25" s="25"/>
      <c r="I25" s="25"/>
      <c r="J25" s="46"/>
    </row>
    <row r="26" ht="15.75" customHeight="1">
      <c r="A26" s="31" t="s">
        <v>15</v>
      </c>
      <c r="B26" s="30"/>
      <c r="C26" s="31" t="s">
        <v>108</v>
      </c>
      <c r="D26" s="32" t="s">
        <v>109</v>
      </c>
      <c r="E26" s="32" t="s">
        <v>110</v>
      </c>
      <c r="F26" s="33">
        <v>1100.0</v>
      </c>
      <c r="G26" s="33">
        <v>980.0</v>
      </c>
      <c r="H26" s="33">
        <v>900.0</v>
      </c>
      <c r="I26" s="33">
        <v>800.0</v>
      </c>
      <c r="J26" s="34"/>
    </row>
    <row r="27" ht="15.75" customHeight="1">
      <c r="A27" s="35" t="s">
        <v>15</v>
      </c>
      <c r="B27" s="36"/>
      <c r="C27" s="35" t="s">
        <v>115</v>
      </c>
      <c r="D27" s="37" t="s">
        <v>109</v>
      </c>
      <c r="E27" s="37" t="s">
        <v>110</v>
      </c>
      <c r="F27" s="38">
        <v>1100.0</v>
      </c>
      <c r="G27" s="38">
        <v>980.0</v>
      </c>
      <c r="H27" s="38">
        <v>800.0</v>
      </c>
      <c r="I27" s="38">
        <v>750.0</v>
      </c>
      <c r="J27" s="39"/>
    </row>
    <row r="28" ht="15.75" customHeight="1">
      <c r="A28" s="29" t="s">
        <v>93</v>
      </c>
      <c r="B28" s="30"/>
      <c r="C28" s="31" t="s">
        <v>108</v>
      </c>
      <c r="D28" s="32" t="s">
        <v>109</v>
      </c>
      <c r="E28" s="32" t="s">
        <v>110</v>
      </c>
      <c r="F28" s="33">
        <v>1360.0</v>
      </c>
      <c r="G28" s="33">
        <v>980.0</v>
      </c>
      <c r="H28" s="33">
        <v>900.0</v>
      </c>
      <c r="I28" s="33">
        <v>800.0</v>
      </c>
      <c r="J28" s="34"/>
    </row>
    <row r="29" ht="15.75" customHeight="1">
      <c r="A29" s="35" t="s">
        <v>93</v>
      </c>
      <c r="B29" s="36"/>
      <c r="C29" s="35" t="s">
        <v>115</v>
      </c>
      <c r="D29" s="37" t="s">
        <v>109</v>
      </c>
      <c r="E29" s="37" t="s">
        <v>110</v>
      </c>
      <c r="F29" s="38">
        <v>1000.0</v>
      </c>
      <c r="G29" s="38">
        <v>900.0</v>
      </c>
      <c r="H29" s="38">
        <v>800.0</v>
      </c>
      <c r="I29" s="38">
        <v>750.0</v>
      </c>
      <c r="J29" s="39"/>
    </row>
    <row r="30" ht="15.75" customHeight="1">
      <c r="A30" s="42" t="s">
        <v>93</v>
      </c>
      <c r="B30" s="41"/>
      <c r="C30" s="42" t="s">
        <v>119</v>
      </c>
      <c r="D30" s="43"/>
      <c r="E30" s="44"/>
      <c r="F30" s="45">
        <v>1000.0</v>
      </c>
      <c r="G30" s="45">
        <v>900.0</v>
      </c>
      <c r="H30" s="25"/>
      <c r="I30" s="25"/>
      <c r="J30" s="46"/>
    </row>
    <row r="31" ht="15.75" customHeight="1">
      <c r="A31" s="29" t="s">
        <v>121</v>
      </c>
      <c r="B31" s="30"/>
      <c r="C31" s="31" t="s">
        <v>108</v>
      </c>
      <c r="D31" s="32" t="s">
        <v>109</v>
      </c>
      <c r="E31" s="32" t="s">
        <v>110</v>
      </c>
      <c r="F31" s="33">
        <v>960.0</v>
      </c>
      <c r="G31" s="33">
        <v>850.0</v>
      </c>
      <c r="H31" s="33">
        <v>750.0</v>
      </c>
      <c r="I31" s="33">
        <v>700.0</v>
      </c>
      <c r="J31" s="34"/>
    </row>
    <row r="32" ht="15.75" customHeight="1">
      <c r="A32" s="31" t="s">
        <v>121</v>
      </c>
      <c r="B32" s="30"/>
      <c r="C32" s="31" t="s">
        <v>108</v>
      </c>
      <c r="D32" s="32" t="s">
        <v>109</v>
      </c>
      <c r="E32" s="32" t="s">
        <v>111</v>
      </c>
      <c r="F32" s="33">
        <v>1400.0</v>
      </c>
      <c r="G32" s="33">
        <v>1360.0</v>
      </c>
      <c r="H32" s="33">
        <v>1200.0</v>
      </c>
      <c r="I32" s="33">
        <v>1100.0</v>
      </c>
      <c r="J32" s="34"/>
    </row>
    <row r="33" ht="15.75" customHeight="1">
      <c r="A33" s="31" t="s">
        <v>121</v>
      </c>
      <c r="B33" s="30"/>
      <c r="C33" s="31" t="s">
        <v>108</v>
      </c>
      <c r="D33" s="32" t="s">
        <v>109</v>
      </c>
      <c r="E33" s="32" t="s">
        <v>122</v>
      </c>
      <c r="F33" s="33">
        <v>3600.0</v>
      </c>
      <c r="G33" s="33">
        <v>3200.0</v>
      </c>
      <c r="H33" s="33">
        <v>2900.0</v>
      </c>
      <c r="I33" s="33">
        <v>2800.0</v>
      </c>
      <c r="J33" s="34"/>
    </row>
    <row r="34" ht="15.75" customHeight="1">
      <c r="A34" s="31" t="s">
        <v>121</v>
      </c>
      <c r="B34" s="30"/>
      <c r="C34" s="31" t="s">
        <v>108</v>
      </c>
      <c r="D34" s="32" t="s">
        <v>118</v>
      </c>
      <c r="E34" s="32" t="s">
        <v>112</v>
      </c>
      <c r="F34" s="33">
        <v>2800.0</v>
      </c>
      <c r="G34" s="33">
        <v>2800.0</v>
      </c>
      <c r="H34" s="33">
        <v>2500.0</v>
      </c>
      <c r="I34" s="33">
        <v>2300.0</v>
      </c>
      <c r="J34" s="34"/>
    </row>
    <row r="35" ht="15.75" customHeight="1">
      <c r="A35" s="31" t="s">
        <v>121</v>
      </c>
      <c r="B35" s="30"/>
      <c r="C35" s="31" t="s">
        <v>108</v>
      </c>
      <c r="D35" s="32" t="s">
        <v>114</v>
      </c>
      <c r="E35" s="32" t="s">
        <v>112</v>
      </c>
      <c r="F35" s="33">
        <v>3100.0</v>
      </c>
      <c r="G35" s="33">
        <v>3500.0</v>
      </c>
      <c r="H35" s="33">
        <v>3500.0</v>
      </c>
      <c r="I35" s="33">
        <v>3200.0</v>
      </c>
      <c r="J35" s="34"/>
    </row>
    <row r="36" ht="15.75" customHeight="1">
      <c r="A36" s="35" t="s">
        <v>121</v>
      </c>
      <c r="B36" s="36"/>
      <c r="C36" s="35" t="s">
        <v>115</v>
      </c>
      <c r="D36" s="37" t="s">
        <v>109</v>
      </c>
      <c r="E36" s="37" t="s">
        <v>110</v>
      </c>
      <c r="F36" s="38">
        <v>1200.0</v>
      </c>
      <c r="G36" s="38">
        <v>1100.0</v>
      </c>
      <c r="H36" s="38">
        <v>900.0</v>
      </c>
      <c r="I36" s="38">
        <v>800.0</v>
      </c>
      <c r="J36" s="39"/>
    </row>
    <row r="37" ht="15.75" customHeight="1">
      <c r="A37" s="35" t="s">
        <v>121</v>
      </c>
      <c r="B37" s="36"/>
      <c r="C37" s="35" t="s">
        <v>115</v>
      </c>
      <c r="D37" s="37" t="s">
        <v>109</v>
      </c>
      <c r="E37" s="37" t="s">
        <v>111</v>
      </c>
      <c r="F37" s="38">
        <v>1200.0</v>
      </c>
      <c r="G37" s="38">
        <v>1100.0</v>
      </c>
      <c r="H37" s="38">
        <v>900.0</v>
      </c>
      <c r="I37" s="38">
        <v>800.0</v>
      </c>
      <c r="J37" s="39"/>
    </row>
    <row r="38" ht="15.75" customHeight="1">
      <c r="A38" s="35" t="s">
        <v>121</v>
      </c>
      <c r="B38" s="36"/>
      <c r="C38" s="35" t="s">
        <v>115</v>
      </c>
      <c r="D38" s="37" t="s">
        <v>109</v>
      </c>
      <c r="E38" s="37" t="s">
        <v>116</v>
      </c>
      <c r="F38" s="38">
        <v>1200.0</v>
      </c>
      <c r="G38" s="38">
        <v>1100.0</v>
      </c>
      <c r="H38" s="38">
        <v>900.0</v>
      </c>
      <c r="I38" s="38">
        <v>800.0</v>
      </c>
      <c r="J38" s="39"/>
    </row>
    <row r="39" ht="15.75" customHeight="1">
      <c r="A39" s="35" t="s">
        <v>121</v>
      </c>
      <c r="B39" s="36"/>
      <c r="C39" s="35" t="s">
        <v>115</v>
      </c>
      <c r="D39" s="37" t="s">
        <v>113</v>
      </c>
      <c r="E39" s="37" t="s">
        <v>116</v>
      </c>
      <c r="F39" s="38">
        <v>1500.0</v>
      </c>
      <c r="G39" s="38">
        <v>1900.0</v>
      </c>
      <c r="H39" s="38">
        <v>1700.0</v>
      </c>
      <c r="I39" s="38">
        <v>1500.0</v>
      </c>
      <c r="J39" s="39"/>
    </row>
    <row r="40" ht="15.75" customHeight="1">
      <c r="A40" s="29" t="s">
        <v>123</v>
      </c>
      <c r="B40" s="30"/>
      <c r="C40" s="31" t="s">
        <v>108</v>
      </c>
      <c r="D40" s="32" t="s">
        <v>109</v>
      </c>
      <c r="E40" s="32" t="s">
        <v>110</v>
      </c>
      <c r="F40" s="33">
        <v>1000.0</v>
      </c>
      <c r="G40" s="33">
        <v>850.0</v>
      </c>
      <c r="H40" s="33">
        <v>750.0</v>
      </c>
      <c r="I40" s="33">
        <v>700.0</v>
      </c>
      <c r="J40" s="34"/>
    </row>
    <row r="41" ht="15.75" customHeight="1">
      <c r="A41" s="31" t="s">
        <v>123</v>
      </c>
      <c r="B41" s="30"/>
      <c r="C41" s="31" t="s">
        <v>108</v>
      </c>
      <c r="D41" s="32" t="s">
        <v>109</v>
      </c>
      <c r="E41" s="32" t="s">
        <v>111</v>
      </c>
      <c r="F41" s="33">
        <v>1400.0</v>
      </c>
      <c r="G41" s="33">
        <v>1200.0</v>
      </c>
      <c r="H41" s="25"/>
      <c r="I41" s="25"/>
      <c r="J41" s="34"/>
    </row>
    <row r="42" ht="15.75" customHeight="1">
      <c r="A42" s="31" t="s">
        <v>123</v>
      </c>
      <c r="B42" s="30"/>
      <c r="C42" s="31" t="s">
        <v>108</v>
      </c>
      <c r="D42" s="32" t="s">
        <v>120</v>
      </c>
      <c r="E42" s="32" t="s">
        <v>110</v>
      </c>
      <c r="F42" s="33">
        <v>1600.0</v>
      </c>
      <c r="G42" s="33">
        <v>1400.0</v>
      </c>
      <c r="H42" s="33">
        <v>1300.0</v>
      </c>
      <c r="I42" s="33">
        <v>1200.0</v>
      </c>
      <c r="J42" s="34"/>
    </row>
    <row r="43" ht="15.75" customHeight="1">
      <c r="A43" s="31" t="s">
        <v>123</v>
      </c>
      <c r="B43" s="30"/>
      <c r="C43" s="31" t="s">
        <v>108</v>
      </c>
      <c r="D43" s="32" t="s">
        <v>120</v>
      </c>
      <c r="E43" s="32" t="s">
        <v>111</v>
      </c>
      <c r="F43" s="33">
        <v>2000.0</v>
      </c>
      <c r="G43" s="33">
        <v>1800.0</v>
      </c>
      <c r="H43" s="33">
        <v>1200.0</v>
      </c>
      <c r="I43" s="33">
        <v>1050.0</v>
      </c>
      <c r="J43" s="34"/>
    </row>
    <row r="44" ht="15.75" customHeight="1">
      <c r="A44" s="31" t="s">
        <v>123</v>
      </c>
      <c r="B44" s="30"/>
      <c r="C44" s="31" t="s">
        <v>108</v>
      </c>
      <c r="D44" s="32" t="s">
        <v>124</v>
      </c>
      <c r="E44" s="32" t="s">
        <v>116</v>
      </c>
      <c r="F44" s="33">
        <v>3600.0</v>
      </c>
      <c r="G44" s="33">
        <v>3000.0</v>
      </c>
      <c r="H44" s="33">
        <v>2800.0</v>
      </c>
      <c r="I44" s="33">
        <v>2600.0</v>
      </c>
      <c r="J44" s="34"/>
    </row>
    <row r="45" ht="15.75" customHeight="1">
      <c r="A45" s="31" t="s">
        <v>123</v>
      </c>
      <c r="B45" s="30" t="s">
        <v>125</v>
      </c>
      <c r="C45" s="31" t="s">
        <v>108</v>
      </c>
      <c r="D45" s="32" t="s">
        <v>109</v>
      </c>
      <c r="E45" s="32" t="s">
        <v>110</v>
      </c>
      <c r="F45" s="33">
        <v>1000.0</v>
      </c>
      <c r="G45" s="33">
        <v>850.0</v>
      </c>
      <c r="H45" s="33">
        <v>750.0</v>
      </c>
      <c r="I45" s="33">
        <v>700.0</v>
      </c>
      <c r="J45" s="34"/>
    </row>
    <row r="46" ht="15.75" customHeight="1">
      <c r="A46" s="31" t="s">
        <v>123</v>
      </c>
      <c r="B46" s="30" t="s">
        <v>125</v>
      </c>
      <c r="C46" s="31" t="s">
        <v>108</v>
      </c>
      <c r="D46" s="32" t="s">
        <v>120</v>
      </c>
      <c r="E46" s="32" t="s">
        <v>110</v>
      </c>
      <c r="F46" s="33">
        <v>1500.0</v>
      </c>
      <c r="G46" s="33">
        <v>1400.0</v>
      </c>
      <c r="H46" s="33">
        <v>1300.0</v>
      </c>
      <c r="I46" s="33">
        <v>1200.0</v>
      </c>
      <c r="J46" s="34"/>
    </row>
    <row r="47" ht="15.75" customHeight="1">
      <c r="A47" s="31" t="s">
        <v>123</v>
      </c>
      <c r="B47" s="30" t="s">
        <v>126</v>
      </c>
      <c r="C47" s="31" t="s">
        <v>108</v>
      </c>
      <c r="D47" s="32" t="s">
        <v>109</v>
      </c>
      <c r="E47" s="32" t="s">
        <v>110</v>
      </c>
      <c r="F47" s="33">
        <v>1500.0</v>
      </c>
      <c r="G47" s="33">
        <v>1100.0</v>
      </c>
      <c r="H47" s="33">
        <v>1050.0</v>
      </c>
      <c r="I47" s="33">
        <v>1000.0</v>
      </c>
      <c r="J47" s="34"/>
    </row>
    <row r="48" ht="15.75" customHeight="1">
      <c r="A48" s="31" t="s">
        <v>123</v>
      </c>
      <c r="B48" s="30" t="s">
        <v>126</v>
      </c>
      <c r="C48" s="31" t="s">
        <v>108</v>
      </c>
      <c r="D48" s="32" t="s">
        <v>120</v>
      </c>
      <c r="E48" s="32" t="s">
        <v>110</v>
      </c>
      <c r="F48" s="33">
        <v>1800.0</v>
      </c>
      <c r="G48" s="33">
        <v>1700.0</v>
      </c>
      <c r="H48" s="33">
        <v>1500.0</v>
      </c>
      <c r="I48" s="33">
        <v>1400.0</v>
      </c>
      <c r="J48" s="34"/>
    </row>
    <row r="49" ht="15.75" customHeight="1">
      <c r="A49" s="47" t="s">
        <v>123</v>
      </c>
      <c r="B49" s="48"/>
      <c r="C49" s="47" t="s">
        <v>127</v>
      </c>
      <c r="D49" s="49" t="s">
        <v>109</v>
      </c>
      <c r="E49" s="49" t="s">
        <v>128</v>
      </c>
      <c r="F49" s="50">
        <v>1200.0</v>
      </c>
      <c r="G49" s="50">
        <v>1100.0</v>
      </c>
      <c r="H49" s="50">
        <v>1000.0</v>
      </c>
      <c r="I49" s="50">
        <v>900.0</v>
      </c>
      <c r="J49" s="51"/>
    </row>
    <row r="50" ht="15.75" customHeight="1">
      <c r="A50" s="52" t="s">
        <v>40</v>
      </c>
      <c r="B50" s="53"/>
      <c r="C50" s="54" t="s">
        <v>129</v>
      </c>
      <c r="D50" s="55" t="s">
        <v>109</v>
      </c>
      <c r="E50" s="55" t="s">
        <v>110</v>
      </c>
      <c r="F50" s="56">
        <v>1000.0</v>
      </c>
      <c r="G50" s="56">
        <v>750.0</v>
      </c>
      <c r="H50" s="56">
        <v>110.0</v>
      </c>
      <c r="I50" s="56">
        <v>100.0</v>
      </c>
      <c r="J50" s="57"/>
    </row>
    <row r="51" ht="15.75" customHeight="1">
      <c r="A51" s="58" t="s">
        <v>41</v>
      </c>
      <c r="B51" s="59"/>
      <c r="C51" s="60" t="s">
        <v>130</v>
      </c>
      <c r="D51" s="61"/>
      <c r="E51" s="44"/>
      <c r="F51" s="62">
        <v>1000.0</v>
      </c>
      <c r="G51" s="62">
        <v>950.0</v>
      </c>
      <c r="H51" s="25"/>
      <c r="I51" s="25"/>
      <c r="J51" s="63"/>
    </row>
    <row r="52" ht="15.75" customHeight="1">
      <c r="A52" s="29" t="s">
        <v>131</v>
      </c>
      <c r="B52" s="30"/>
      <c r="C52" s="31" t="s">
        <v>108</v>
      </c>
      <c r="D52" s="32" t="s">
        <v>109</v>
      </c>
      <c r="E52" s="32" t="s">
        <v>110</v>
      </c>
      <c r="F52" s="25"/>
      <c r="G52" s="25"/>
      <c r="H52" s="25"/>
      <c r="I52" s="25"/>
      <c r="J52" s="34" t="s">
        <v>53</v>
      </c>
    </row>
    <row r="53" ht="15.75" customHeight="1">
      <c r="A53" s="31" t="s">
        <v>131</v>
      </c>
      <c r="B53" s="30"/>
      <c r="C53" s="31" t="s">
        <v>108</v>
      </c>
      <c r="D53" s="32" t="s">
        <v>109</v>
      </c>
      <c r="E53" s="32" t="s">
        <v>111</v>
      </c>
      <c r="F53" s="25"/>
      <c r="G53" s="25"/>
      <c r="H53" s="25"/>
      <c r="I53" s="25"/>
      <c r="J53" s="34" t="s">
        <v>53</v>
      </c>
    </row>
    <row r="54" ht="15.75" customHeight="1">
      <c r="A54" s="35" t="s">
        <v>131</v>
      </c>
      <c r="B54" s="36"/>
      <c r="C54" s="35" t="s">
        <v>115</v>
      </c>
      <c r="D54" s="37" t="s">
        <v>109</v>
      </c>
      <c r="E54" s="37" t="s">
        <v>116</v>
      </c>
      <c r="F54" s="25"/>
      <c r="G54" s="25"/>
      <c r="H54" s="25"/>
      <c r="I54" s="25"/>
      <c r="J54" s="39" t="s">
        <v>53</v>
      </c>
    </row>
    <row r="55" ht="15.75" customHeight="1">
      <c r="A55" s="42" t="s">
        <v>131</v>
      </c>
      <c r="B55" s="41"/>
      <c r="C55" s="42" t="s">
        <v>119</v>
      </c>
      <c r="D55" s="43" t="s">
        <v>109</v>
      </c>
      <c r="E55" s="44"/>
      <c r="F55" s="25"/>
      <c r="G55" s="25"/>
      <c r="H55" s="25"/>
      <c r="I55" s="25"/>
      <c r="J55" s="46" t="s">
        <v>53</v>
      </c>
    </row>
    <row r="56" ht="15.75" customHeight="1">
      <c r="A56" s="29" t="s">
        <v>14</v>
      </c>
      <c r="B56" s="30"/>
      <c r="C56" s="31" t="s">
        <v>108</v>
      </c>
      <c r="D56" s="32" t="s">
        <v>109</v>
      </c>
      <c r="E56" s="32" t="s">
        <v>110</v>
      </c>
      <c r="F56" s="25"/>
      <c r="G56" s="25"/>
      <c r="H56" s="25"/>
      <c r="I56" s="25"/>
      <c r="J56" s="34" t="s">
        <v>53</v>
      </c>
    </row>
    <row r="57" ht="15.75" customHeight="1">
      <c r="A57" s="35" t="s">
        <v>14</v>
      </c>
      <c r="B57" s="36"/>
      <c r="C57" s="35" t="s">
        <v>115</v>
      </c>
      <c r="D57" s="37" t="s">
        <v>109</v>
      </c>
      <c r="E57" s="37" t="s">
        <v>116</v>
      </c>
      <c r="F57" s="25"/>
      <c r="G57" s="25"/>
      <c r="H57" s="25"/>
      <c r="I57" s="25"/>
      <c r="J57" s="39" t="s">
        <v>53</v>
      </c>
    </row>
    <row r="58" ht="15.75" customHeight="1">
      <c r="A58" s="29" t="s">
        <v>32</v>
      </c>
      <c r="B58" s="30"/>
      <c r="C58" s="31" t="s">
        <v>108</v>
      </c>
      <c r="D58" s="32" t="s">
        <v>109</v>
      </c>
      <c r="E58" s="32" t="s">
        <v>110</v>
      </c>
      <c r="F58" s="25"/>
      <c r="G58" s="25"/>
      <c r="H58" s="25"/>
      <c r="I58" s="25"/>
      <c r="J58" s="34" t="s">
        <v>53</v>
      </c>
    </row>
    <row r="59" ht="15.75" customHeight="1">
      <c r="A59" s="31" t="s">
        <v>32</v>
      </c>
      <c r="B59" s="30"/>
      <c r="C59" s="31" t="s">
        <v>108</v>
      </c>
      <c r="D59" s="32" t="s">
        <v>109</v>
      </c>
      <c r="E59" s="32" t="s">
        <v>111</v>
      </c>
      <c r="F59" s="25"/>
      <c r="G59" s="25"/>
      <c r="H59" s="25"/>
      <c r="I59" s="25"/>
      <c r="J59" s="34" t="s">
        <v>53</v>
      </c>
    </row>
    <row r="60" ht="15.75" customHeight="1">
      <c r="A60" s="7" t="s">
        <v>132</v>
      </c>
      <c r="B60" s="8"/>
      <c r="C60" s="12"/>
      <c r="D60" s="64" t="s">
        <v>109</v>
      </c>
      <c r="E60" s="64" t="s">
        <v>133</v>
      </c>
      <c r="F60" s="25"/>
      <c r="G60" s="25"/>
      <c r="H60" s="25"/>
      <c r="I60" s="25"/>
      <c r="J60" s="11" t="s">
        <v>53</v>
      </c>
    </row>
    <row r="61" ht="15.75" customHeight="1">
      <c r="A61" s="7" t="s">
        <v>28</v>
      </c>
      <c r="B61" s="8"/>
      <c r="C61" s="12" t="s">
        <v>134</v>
      </c>
      <c r="D61" s="49" t="s">
        <v>109</v>
      </c>
      <c r="E61" s="44"/>
      <c r="F61" s="25"/>
      <c r="G61" s="25"/>
      <c r="H61" s="25"/>
      <c r="I61" s="25"/>
      <c r="J61" s="11" t="s">
        <v>53</v>
      </c>
    </row>
    <row r="62" ht="15.75" customHeight="1">
      <c r="A62" s="29" t="s">
        <v>23</v>
      </c>
      <c r="B62" s="30"/>
      <c r="C62" s="31" t="s">
        <v>108</v>
      </c>
      <c r="D62" s="32" t="s">
        <v>109</v>
      </c>
      <c r="E62" s="32" t="s">
        <v>110</v>
      </c>
      <c r="F62" s="25"/>
      <c r="G62" s="25"/>
      <c r="H62" s="25"/>
      <c r="I62" s="25"/>
      <c r="J62" s="34" t="s">
        <v>53</v>
      </c>
    </row>
    <row r="63" ht="15.75" customHeight="1">
      <c r="A63" s="35" t="s">
        <v>23</v>
      </c>
      <c r="B63" s="36"/>
      <c r="C63" s="35" t="s">
        <v>115</v>
      </c>
      <c r="D63" s="37" t="s">
        <v>109</v>
      </c>
      <c r="E63" s="37" t="s">
        <v>116</v>
      </c>
      <c r="F63" s="25"/>
      <c r="G63" s="25"/>
      <c r="H63" s="25"/>
      <c r="I63" s="25"/>
      <c r="J63" s="39" t="s">
        <v>53</v>
      </c>
    </row>
    <row r="64" ht="15.75" customHeight="1">
      <c r="A64" s="29" t="s">
        <v>135</v>
      </c>
      <c r="B64" s="30"/>
      <c r="C64" s="31" t="s">
        <v>108</v>
      </c>
      <c r="D64" s="32" t="s">
        <v>109</v>
      </c>
      <c r="E64" s="32" t="s">
        <v>110</v>
      </c>
      <c r="F64" s="25"/>
      <c r="G64" s="25"/>
      <c r="H64" s="25"/>
      <c r="I64" s="25"/>
      <c r="J64" s="34" t="s">
        <v>53</v>
      </c>
    </row>
    <row r="65" ht="15.75" customHeight="1">
      <c r="A65" s="29" t="s">
        <v>136</v>
      </c>
      <c r="B65" s="30"/>
      <c r="C65" s="31" t="s">
        <v>108</v>
      </c>
      <c r="D65" s="32" t="s">
        <v>109</v>
      </c>
      <c r="E65" s="32" t="s">
        <v>110</v>
      </c>
      <c r="F65" s="25"/>
      <c r="G65" s="25"/>
      <c r="H65" s="25"/>
      <c r="I65" s="25"/>
      <c r="J65" s="34" t="s">
        <v>53</v>
      </c>
    </row>
    <row r="66" ht="15.75" customHeight="1">
      <c r="A66" s="29" t="s">
        <v>137</v>
      </c>
      <c r="B66" s="30"/>
      <c r="C66" s="31" t="s">
        <v>108</v>
      </c>
      <c r="D66" s="32" t="s">
        <v>109</v>
      </c>
      <c r="E66" s="32" t="s">
        <v>110</v>
      </c>
      <c r="F66" s="25"/>
      <c r="G66" s="25"/>
      <c r="H66" s="25"/>
      <c r="I66" s="25"/>
      <c r="J66" s="34" t="s">
        <v>53</v>
      </c>
    </row>
    <row r="67" ht="15.75" customHeight="1">
      <c r="A67" s="29" t="s">
        <v>138</v>
      </c>
      <c r="B67" s="30"/>
      <c r="C67" s="31" t="s">
        <v>108</v>
      </c>
      <c r="D67" s="32" t="s">
        <v>109</v>
      </c>
      <c r="E67" s="32" t="s">
        <v>110</v>
      </c>
      <c r="F67" s="25"/>
      <c r="G67" s="25"/>
      <c r="H67" s="25"/>
      <c r="I67" s="25"/>
      <c r="J67" s="34" t="s">
        <v>53</v>
      </c>
    </row>
    <row r="68" ht="15.75" customHeight="1">
      <c r="A68" s="29" t="s">
        <v>139</v>
      </c>
      <c r="B68" s="30"/>
      <c r="C68" s="31" t="s">
        <v>108</v>
      </c>
      <c r="D68" s="32" t="s">
        <v>109</v>
      </c>
      <c r="E68" s="32" t="s">
        <v>110</v>
      </c>
      <c r="F68" s="25"/>
      <c r="G68" s="25"/>
      <c r="H68" s="25"/>
      <c r="I68" s="25"/>
      <c r="J68" s="34" t="s">
        <v>53</v>
      </c>
    </row>
    <row r="69" ht="15.75" customHeight="1">
      <c r="A69" s="65" t="s">
        <v>140</v>
      </c>
      <c r="B69" s="48"/>
      <c r="C69" s="47" t="s">
        <v>127</v>
      </c>
      <c r="D69" s="49" t="s">
        <v>109</v>
      </c>
      <c r="E69" s="49" t="s">
        <v>128</v>
      </c>
      <c r="F69" s="25"/>
      <c r="G69" s="25"/>
      <c r="H69" s="25"/>
      <c r="I69" s="25"/>
      <c r="J69" s="51" t="s">
        <v>53</v>
      </c>
    </row>
    <row r="70" ht="15.75" customHeight="1">
      <c r="A70" s="7" t="s">
        <v>141</v>
      </c>
      <c r="B70" s="8"/>
      <c r="C70" s="12"/>
      <c r="D70" s="64"/>
      <c r="E70" s="44"/>
      <c r="F70" s="25"/>
      <c r="G70" s="25"/>
      <c r="H70" s="25"/>
      <c r="I70" s="25"/>
      <c r="J70" s="11" t="s">
        <v>53</v>
      </c>
    </row>
    <row r="71" ht="15.75" customHeight="1">
      <c r="A71" s="58" t="s">
        <v>42</v>
      </c>
      <c r="B71" s="59"/>
      <c r="C71" s="60" t="s">
        <v>130</v>
      </c>
      <c r="D71" s="61"/>
      <c r="E71" s="44"/>
      <c r="F71" s="25"/>
      <c r="G71" s="25"/>
      <c r="H71" s="25"/>
      <c r="I71" s="25"/>
      <c r="J71" s="63" t="s">
        <v>53</v>
      </c>
    </row>
    <row r="72" ht="15.75" customHeight="1"/>
    <row r="73" ht="15.75" customHeight="1">
      <c r="A73" s="66" t="s">
        <v>142</v>
      </c>
    </row>
    <row r="74" ht="15.75" customHeight="1">
      <c r="A74" s="67" t="s">
        <v>143</v>
      </c>
      <c r="D74" s="64"/>
      <c r="E74" s="44"/>
    </row>
    <row r="75" ht="15.75" customHeight="1">
      <c r="A75" s="68" t="s">
        <v>144</v>
      </c>
      <c r="D75" s="64"/>
      <c r="E75" s="44"/>
    </row>
    <row r="76" ht="15.75" customHeight="1">
      <c r="A76" s="69" t="s">
        <v>145</v>
      </c>
      <c r="D76" s="64"/>
      <c r="E76" s="44"/>
    </row>
    <row r="77" ht="15.75" customHeight="1">
      <c r="A77" s="70" t="s">
        <v>146</v>
      </c>
      <c r="D77" s="64"/>
      <c r="E77" s="44"/>
    </row>
    <row r="78" ht="15.75" customHeight="1">
      <c r="A78" s="71" t="s">
        <v>147</v>
      </c>
      <c r="D78" s="64"/>
      <c r="E78" s="44"/>
    </row>
    <row r="79" ht="15.75" customHeight="1">
      <c r="A79" s="72" t="s">
        <v>148</v>
      </c>
      <c r="D79" s="64"/>
      <c r="E79" s="44"/>
    </row>
    <row r="80" ht="19.5" customHeight="1">
      <c r="A80" s="27" t="s">
        <v>149</v>
      </c>
      <c r="B80" s="2"/>
      <c r="C80" s="2"/>
      <c r="D80" s="2"/>
      <c r="E80" s="2"/>
      <c r="F80" s="2"/>
      <c r="G80" s="2"/>
      <c r="H80" s="2"/>
      <c r="I80" s="3"/>
    </row>
    <row r="81" ht="15.75" customHeight="1">
      <c r="A81" s="65" t="s">
        <v>52</v>
      </c>
      <c r="B81" s="48"/>
      <c r="C81" s="47" t="s">
        <v>127</v>
      </c>
      <c r="D81" s="49" t="s">
        <v>109</v>
      </c>
      <c r="E81" s="49" t="s">
        <v>128</v>
      </c>
      <c r="F81" s="25"/>
      <c r="G81" s="25"/>
      <c r="H81" s="25"/>
      <c r="I81" s="25"/>
      <c r="J81" s="51" t="s">
        <v>53</v>
      </c>
    </row>
    <row r="82" ht="15.75" customHeight="1">
      <c r="A82" s="31" t="s">
        <v>52</v>
      </c>
      <c r="B82" s="30"/>
      <c r="C82" s="31" t="s">
        <v>108</v>
      </c>
      <c r="D82" s="32" t="s">
        <v>109</v>
      </c>
      <c r="E82" s="32" t="s">
        <v>110</v>
      </c>
      <c r="F82" s="25"/>
      <c r="G82" s="25"/>
      <c r="H82" s="25"/>
      <c r="I82" s="25"/>
      <c r="J82" s="34" t="s">
        <v>53</v>
      </c>
    </row>
    <row r="83" ht="15.75" customHeight="1">
      <c r="A83" s="65" t="s">
        <v>55</v>
      </c>
      <c r="B83" s="48"/>
      <c r="C83" s="47" t="s">
        <v>127</v>
      </c>
      <c r="D83" s="49" t="s">
        <v>109</v>
      </c>
      <c r="E83" s="49" t="s">
        <v>128</v>
      </c>
      <c r="F83" s="25"/>
      <c r="G83" s="25"/>
      <c r="H83" s="25"/>
      <c r="I83" s="25"/>
      <c r="J83" s="51" t="s">
        <v>53</v>
      </c>
    </row>
    <row r="84" ht="15.75" customHeight="1">
      <c r="A84" s="31" t="s">
        <v>55</v>
      </c>
      <c r="B84" s="30"/>
      <c r="C84" s="31" t="s">
        <v>108</v>
      </c>
      <c r="D84" s="32" t="s">
        <v>109</v>
      </c>
      <c r="E84" s="32" t="s">
        <v>110</v>
      </c>
      <c r="F84" s="25"/>
      <c r="G84" s="25"/>
      <c r="H84" s="25"/>
      <c r="I84" s="25"/>
      <c r="J84" s="34" t="s">
        <v>53</v>
      </c>
    </row>
    <row r="85" ht="15.75" customHeight="1">
      <c r="A85" s="65" t="s">
        <v>56</v>
      </c>
      <c r="B85" s="48"/>
      <c r="C85" s="47" t="s">
        <v>127</v>
      </c>
      <c r="D85" s="49" t="s">
        <v>109</v>
      </c>
      <c r="E85" s="49" t="s">
        <v>128</v>
      </c>
      <c r="F85" s="25"/>
      <c r="G85" s="25"/>
      <c r="H85" s="25"/>
      <c r="I85" s="25"/>
      <c r="J85" s="51" t="s">
        <v>53</v>
      </c>
    </row>
    <row r="86" ht="15.75" customHeight="1">
      <c r="A86" s="31" t="s">
        <v>56</v>
      </c>
      <c r="B86" s="30"/>
      <c r="C86" s="31" t="s">
        <v>108</v>
      </c>
      <c r="D86" s="32" t="s">
        <v>109</v>
      </c>
      <c r="E86" s="32" t="s">
        <v>110</v>
      </c>
      <c r="F86" s="25"/>
      <c r="G86" s="25"/>
      <c r="H86" s="25"/>
      <c r="I86" s="25"/>
      <c r="J86" s="34" t="s">
        <v>53</v>
      </c>
    </row>
    <row r="87" ht="15.75" customHeight="1">
      <c r="A87" s="65" t="s">
        <v>57</v>
      </c>
      <c r="B87" s="48"/>
      <c r="C87" s="47" t="s">
        <v>127</v>
      </c>
      <c r="D87" s="49" t="s">
        <v>109</v>
      </c>
      <c r="E87" s="49" t="s">
        <v>128</v>
      </c>
      <c r="F87" s="25"/>
      <c r="G87" s="25"/>
      <c r="H87" s="25"/>
      <c r="I87" s="25"/>
      <c r="J87" s="51" t="s">
        <v>53</v>
      </c>
    </row>
    <row r="88" ht="15.75" customHeight="1">
      <c r="A88" s="31" t="s">
        <v>57</v>
      </c>
      <c r="B88" s="30"/>
      <c r="C88" s="31" t="s">
        <v>108</v>
      </c>
      <c r="D88" s="32" t="s">
        <v>109</v>
      </c>
      <c r="E88" s="32" t="s">
        <v>110</v>
      </c>
      <c r="F88" s="25"/>
      <c r="G88" s="25"/>
      <c r="H88" s="25"/>
      <c r="I88" s="25"/>
      <c r="J88" s="34" t="s">
        <v>53</v>
      </c>
    </row>
    <row r="89" ht="15.75" customHeight="1">
      <c r="A89" s="29" t="s">
        <v>58</v>
      </c>
      <c r="B89" s="30"/>
      <c r="C89" s="31" t="s">
        <v>108</v>
      </c>
      <c r="D89" s="32" t="s">
        <v>109</v>
      </c>
      <c r="E89" s="32" t="s">
        <v>110</v>
      </c>
      <c r="F89" s="25"/>
      <c r="G89" s="25"/>
      <c r="H89" s="25"/>
      <c r="I89" s="25"/>
      <c r="J89" s="34" t="s">
        <v>53</v>
      </c>
    </row>
    <row r="90" ht="15.75" customHeight="1">
      <c r="A90" s="35" t="s">
        <v>58</v>
      </c>
      <c r="B90" s="36"/>
      <c r="C90" s="35" t="s">
        <v>115</v>
      </c>
      <c r="D90" s="37" t="s">
        <v>116</v>
      </c>
      <c r="E90" s="44"/>
      <c r="F90" s="25"/>
      <c r="G90" s="25"/>
      <c r="H90" s="25"/>
      <c r="I90" s="25"/>
      <c r="J90" s="39" t="s">
        <v>53</v>
      </c>
    </row>
    <row r="91" ht="15.75" customHeight="1">
      <c r="A91" s="29" t="s">
        <v>59</v>
      </c>
      <c r="B91" s="30"/>
      <c r="C91" s="31" t="s">
        <v>108</v>
      </c>
      <c r="D91" s="32" t="s">
        <v>109</v>
      </c>
      <c r="E91" s="32" t="s">
        <v>110</v>
      </c>
      <c r="F91" s="25"/>
      <c r="G91" s="25"/>
      <c r="H91" s="25"/>
      <c r="I91" s="25"/>
      <c r="J91" s="34" t="s">
        <v>53</v>
      </c>
    </row>
    <row r="92" ht="15.75" customHeight="1">
      <c r="A92" s="31" t="s">
        <v>59</v>
      </c>
      <c r="B92" s="30"/>
      <c r="C92" s="31" t="s">
        <v>108</v>
      </c>
      <c r="D92" s="32" t="s">
        <v>109</v>
      </c>
      <c r="E92" s="32" t="s">
        <v>111</v>
      </c>
      <c r="F92" s="25"/>
      <c r="G92" s="25"/>
      <c r="H92" s="25"/>
      <c r="I92" s="25"/>
      <c r="J92" s="34" t="s">
        <v>53</v>
      </c>
    </row>
    <row r="93" ht="15.75" customHeight="1">
      <c r="A93" s="35" t="s">
        <v>59</v>
      </c>
      <c r="B93" s="36"/>
      <c r="C93" s="35" t="s">
        <v>115</v>
      </c>
      <c r="D93" s="37" t="s">
        <v>109</v>
      </c>
      <c r="E93" s="37" t="s">
        <v>116</v>
      </c>
      <c r="F93" s="25"/>
      <c r="G93" s="25"/>
      <c r="H93" s="25"/>
      <c r="I93" s="25"/>
      <c r="J93" s="39" t="s">
        <v>53</v>
      </c>
    </row>
    <row r="94" ht="15.75" customHeight="1">
      <c r="A94" s="65" t="s">
        <v>60</v>
      </c>
      <c r="B94" s="48"/>
      <c r="C94" s="47" t="s">
        <v>134</v>
      </c>
      <c r="D94" s="49" t="s">
        <v>109</v>
      </c>
      <c r="E94" s="44"/>
      <c r="F94" s="25"/>
      <c r="G94" s="25"/>
      <c r="H94" s="25"/>
      <c r="I94" s="25"/>
      <c r="J94" s="51" t="s">
        <v>53</v>
      </c>
    </row>
    <row r="95" ht="15.75" customHeight="1">
      <c r="A95" s="31" t="s">
        <v>60</v>
      </c>
      <c r="B95" s="30"/>
      <c r="C95" s="31" t="s">
        <v>108</v>
      </c>
      <c r="D95" s="32" t="s">
        <v>109</v>
      </c>
      <c r="E95" s="32" t="s">
        <v>110</v>
      </c>
      <c r="F95" s="25"/>
      <c r="G95" s="25"/>
      <c r="H95" s="25"/>
      <c r="I95" s="25"/>
      <c r="J95" s="34" t="s">
        <v>53</v>
      </c>
    </row>
    <row r="96" ht="15.75" customHeight="1">
      <c r="A96" s="29" t="s">
        <v>61</v>
      </c>
      <c r="B96" s="30"/>
      <c r="C96" s="31" t="s">
        <v>108</v>
      </c>
      <c r="D96" s="32" t="s">
        <v>109</v>
      </c>
      <c r="E96" s="32" t="s">
        <v>110</v>
      </c>
      <c r="F96" s="25"/>
      <c r="G96" s="25"/>
      <c r="H96" s="25"/>
      <c r="I96" s="25"/>
      <c r="J96" s="34" t="s">
        <v>53</v>
      </c>
    </row>
    <row r="97" ht="15.75" customHeight="1">
      <c r="A97" s="35" t="s">
        <v>61</v>
      </c>
      <c r="B97" s="36"/>
      <c r="C97" s="35" t="s">
        <v>115</v>
      </c>
      <c r="D97" s="37" t="s">
        <v>109</v>
      </c>
      <c r="E97" s="37" t="s">
        <v>116</v>
      </c>
      <c r="F97" s="25"/>
      <c r="G97" s="25"/>
      <c r="H97" s="25"/>
      <c r="I97" s="25"/>
      <c r="J97" s="39" t="s">
        <v>53</v>
      </c>
    </row>
    <row r="98" ht="15.75" customHeight="1">
      <c r="A98" s="42" t="s">
        <v>61</v>
      </c>
      <c r="B98" s="41"/>
      <c r="C98" s="42" t="s">
        <v>119</v>
      </c>
      <c r="D98" s="43" t="s">
        <v>109</v>
      </c>
      <c r="E98" s="44"/>
      <c r="F98" s="25"/>
      <c r="G98" s="25"/>
      <c r="H98" s="25"/>
      <c r="I98" s="25"/>
      <c r="J98" s="46" t="s">
        <v>53</v>
      </c>
    </row>
    <row r="99" ht="15.75" customHeight="1">
      <c r="A99" s="29" t="s">
        <v>62</v>
      </c>
      <c r="B99" s="30" t="s">
        <v>63</v>
      </c>
      <c r="C99" s="31" t="s">
        <v>108</v>
      </c>
      <c r="D99" s="32" t="s">
        <v>150</v>
      </c>
      <c r="E99" s="32" t="s">
        <v>110</v>
      </c>
      <c r="F99" s="25"/>
      <c r="G99" s="25"/>
      <c r="H99" s="25"/>
      <c r="I99" s="25"/>
      <c r="J99" s="34" t="s">
        <v>53</v>
      </c>
    </row>
    <row r="100" ht="15.75" customHeight="1">
      <c r="A100" s="35" t="s">
        <v>62</v>
      </c>
      <c r="B100" s="36" t="s">
        <v>63</v>
      </c>
      <c r="C100" s="35" t="s">
        <v>115</v>
      </c>
      <c r="D100" s="37" t="s">
        <v>150</v>
      </c>
      <c r="E100" s="37" t="s">
        <v>116</v>
      </c>
      <c r="F100" s="25"/>
      <c r="G100" s="25"/>
      <c r="H100" s="25"/>
      <c r="I100" s="25"/>
      <c r="J100" s="39" t="s">
        <v>53</v>
      </c>
    </row>
    <row r="101" ht="15.75" customHeight="1">
      <c r="A101" s="29" t="s">
        <v>64</v>
      </c>
      <c r="B101" s="30" t="s">
        <v>65</v>
      </c>
      <c r="C101" s="31" t="s">
        <v>108</v>
      </c>
      <c r="D101" s="32" t="s">
        <v>150</v>
      </c>
      <c r="E101" s="32" t="s">
        <v>110</v>
      </c>
      <c r="F101" s="25"/>
      <c r="G101" s="25"/>
      <c r="H101" s="25"/>
      <c r="I101" s="25"/>
      <c r="J101" s="34" t="s">
        <v>53</v>
      </c>
    </row>
    <row r="102" ht="15.75" customHeight="1">
      <c r="A102" s="29" t="s">
        <v>66</v>
      </c>
      <c r="B102" s="30" t="s">
        <v>67</v>
      </c>
      <c r="C102" s="31" t="s">
        <v>108</v>
      </c>
      <c r="D102" s="32" t="s">
        <v>150</v>
      </c>
      <c r="E102" s="32" t="s">
        <v>110</v>
      </c>
      <c r="F102" s="25"/>
      <c r="G102" s="25"/>
      <c r="H102" s="25"/>
      <c r="I102" s="25"/>
      <c r="J102" s="34" t="s">
        <v>53</v>
      </c>
    </row>
    <row r="103" ht="15.75" customHeight="1">
      <c r="A103" s="35" t="s">
        <v>66</v>
      </c>
      <c r="B103" s="36" t="s">
        <v>67</v>
      </c>
      <c r="C103" s="35" t="s">
        <v>115</v>
      </c>
      <c r="D103" s="37" t="s">
        <v>150</v>
      </c>
      <c r="E103" s="37" t="s">
        <v>116</v>
      </c>
      <c r="F103" s="25"/>
      <c r="G103" s="25"/>
      <c r="H103" s="25"/>
      <c r="I103" s="25"/>
      <c r="J103" s="39" t="s">
        <v>53</v>
      </c>
    </row>
    <row r="104" ht="15.75" customHeight="1">
      <c r="A104" s="29" t="s">
        <v>68</v>
      </c>
      <c r="B104" s="30" t="s">
        <v>69</v>
      </c>
      <c r="C104" s="31" t="s">
        <v>108</v>
      </c>
      <c r="D104" s="32" t="s">
        <v>150</v>
      </c>
      <c r="E104" s="32" t="s">
        <v>110</v>
      </c>
      <c r="F104" s="25"/>
      <c r="G104" s="25"/>
      <c r="H104" s="25"/>
      <c r="I104" s="25"/>
      <c r="J104" s="34" t="s">
        <v>53</v>
      </c>
    </row>
    <row r="105" ht="15.75" customHeight="1">
      <c r="A105" s="35" t="s">
        <v>68</v>
      </c>
      <c r="B105" s="36" t="s">
        <v>69</v>
      </c>
      <c r="C105" s="35" t="s">
        <v>115</v>
      </c>
      <c r="D105" s="37" t="s">
        <v>150</v>
      </c>
      <c r="E105" s="37" t="s">
        <v>116</v>
      </c>
      <c r="F105" s="25"/>
      <c r="G105" s="25"/>
      <c r="H105" s="25"/>
      <c r="I105" s="25"/>
      <c r="J105" s="39" t="s">
        <v>53</v>
      </c>
    </row>
    <row r="106" ht="15.75" customHeight="1">
      <c r="A106" s="29" t="s">
        <v>70</v>
      </c>
      <c r="B106" s="30" t="s">
        <v>71</v>
      </c>
      <c r="C106" s="31" t="s">
        <v>108</v>
      </c>
      <c r="D106" s="32" t="s">
        <v>150</v>
      </c>
      <c r="E106" s="32" t="s">
        <v>110</v>
      </c>
      <c r="F106" s="25"/>
      <c r="G106" s="25"/>
      <c r="H106" s="25"/>
      <c r="I106" s="25"/>
      <c r="J106" s="34" t="s">
        <v>53</v>
      </c>
    </row>
    <row r="107" ht="15.75" customHeight="1">
      <c r="A107" s="29" t="s">
        <v>72</v>
      </c>
      <c r="B107" s="30" t="s">
        <v>151</v>
      </c>
      <c r="C107" s="31" t="s">
        <v>108</v>
      </c>
      <c r="D107" s="32" t="s">
        <v>150</v>
      </c>
      <c r="E107" s="32" t="s">
        <v>110</v>
      </c>
      <c r="F107" s="25"/>
      <c r="G107" s="25"/>
      <c r="H107" s="25"/>
      <c r="I107" s="25"/>
      <c r="J107" s="34" t="s">
        <v>53</v>
      </c>
    </row>
    <row r="108" ht="15.75" customHeight="1">
      <c r="A108" s="65" t="s">
        <v>74</v>
      </c>
      <c r="B108" s="48" t="s">
        <v>75</v>
      </c>
      <c r="C108" s="47" t="s">
        <v>134</v>
      </c>
      <c r="D108" s="49" t="s">
        <v>150</v>
      </c>
      <c r="E108" s="44"/>
      <c r="F108" s="25"/>
      <c r="G108" s="25"/>
      <c r="H108" s="25"/>
      <c r="I108" s="25"/>
      <c r="J108" s="51" t="s">
        <v>53</v>
      </c>
    </row>
    <row r="109" ht="15.75" customHeight="1">
      <c r="A109" s="29" t="s">
        <v>76</v>
      </c>
      <c r="B109" s="30" t="s">
        <v>77</v>
      </c>
      <c r="C109" s="31" t="s">
        <v>108</v>
      </c>
      <c r="D109" s="32" t="s">
        <v>150</v>
      </c>
      <c r="E109" s="32" t="s">
        <v>110</v>
      </c>
      <c r="F109" s="25"/>
      <c r="G109" s="25"/>
      <c r="H109" s="25"/>
      <c r="I109" s="25"/>
      <c r="J109" s="34" t="s">
        <v>53</v>
      </c>
    </row>
    <row r="110" ht="15.75" customHeight="1">
      <c r="A110" s="29" t="s">
        <v>78</v>
      </c>
      <c r="B110" s="30" t="s">
        <v>79</v>
      </c>
      <c r="C110" s="31" t="s">
        <v>108</v>
      </c>
      <c r="D110" s="32" t="s">
        <v>150</v>
      </c>
      <c r="E110" s="32" t="s">
        <v>110</v>
      </c>
      <c r="F110" s="25"/>
      <c r="G110" s="25"/>
      <c r="H110" s="25"/>
      <c r="I110" s="25"/>
      <c r="J110" s="34" t="s">
        <v>53</v>
      </c>
    </row>
    <row r="111" ht="15.75" customHeight="1">
      <c r="A111" s="42" t="s">
        <v>78</v>
      </c>
      <c r="B111" s="41" t="s">
        <v>79</v>
      </c>
      <c r="C111" s="42" t="s">
        <v>119</v>
      </c>
      <c r="D111" s="43" t="s">
        <v>109</v>
      </c>
      <c r="E111" s="44"/>
      <c r="F111" s="25"/>
      <c r="G111" s="25"/>
      <c r="H111" s="25"/>
      <c r="I111" s="25"/>
      <c r="J111" s="46" t="s">
        <v>53</v>
      </c>
    </row>
    <row r="112" ht="15.75" customHeight="1">
      <c r="A112" s="65" t="s">
        <v>80</v>
      </c>
      <c r="B112" s="48" t="s">
        <v>81</v>
      </c>
      <c r="C112" s="47" t="s">
        <v>134</v>
      </c>
      <c r="D112" s="49" t="s">
        <v>150</v>
      </c>
      <c r="E112" s="44"/>
      <c r="F112" s="25"/>
      <c r="G112" s="25"/>
      <c r="H112" s="25"/>
      <c r="I112" s="25"/>
      <c r="J112" s="51" t="s">
        <v>53</v>
      </c>
    </row>
    <row r="113" ht="15.75" customHeight="1">
      <c r="A113" s="29" t="s">
        <v>82</v>
      </c>
      <c r="B113" s="30" t="s">
        <v>152</v>
      </c>
      <c r="C113" s="31" t="s">
        <v>108</v>
      </c>
      <c r="D113" s="32" t="s">
        <v>150</v>
      </c>
      <c r="E113" s="32" t="s">
        <v>110</v>
      </c>
      <c r="F113" s="25"/>
      <c r="G113" s="25"/>
      <c r="H113" s="25"/>
      <c r="I113" s="25"/>
      <c r="J113" s="34" t="s">
        <v>53</v>
      </c>
    </row>
    <row r="114" ht="15.75" customHeight="1">
      <c r="A114" s="29" t="s">
        <v>84</v>
      </c>
      <c r="B114" s="30" t="s">
        <v>153</v>
      </c>
      <c r="C114" s="31" t="s">
        <v>108</v>
      </c>
      <c r="D114" s="32" t="s">
        <v>150</v>
      </c>
      <c r="E114" s="32" t="s">
        <v>110</v>
      </c>
      <c r="F114" s="25"/>
      <c r="G114" s="25"/>
      <c r="H114" s="25"/>
      <c r="I114" s="25"/>
      <c r="J114" s="34" t="s">
        <v>53</v>
      </c>
    </row>
    <row r="115" ht="15.75" customHeight="1">
      <c r="A115" s="35" t="s">
        <v>84</v>
      </c>
      <c r="B115" s="36" t="s">
        <v>153</v>
      </c>
      <c r="C115" s="35" t="s">
        <v>115</v>
      </c>
      <c r="D115" s="37" t="s">
        <v>150</v>
      </c>
      <c r="E115" s="37" t="s">
        <v>116</v>
      </c>
      <c r="F115" s="25"/>
      <c r="G115" s="25"/>
      <c r="H115" s="25"/>
      <c r="I115" s="25"/>
      <c r="J115" s="39" t="s">
        <v>53</v>
      </c>
    </row>
    <row r="116" ht="15.75" customHeight="1">
      <c r="A116" s="29" t="s">
        <v>86</v>
      </c>
      <c r="B116" s="30" t="s">
        <v>87</v>
      </c>
      <c r="C116" s="31" t="s">
        <v>108</v>
      </c>
      <c r="D116" s="32" t="s">
        <v>150</v>
      </c>
      <c r="E116" s="32" t="s">
        <v>110</v>
      </c>
      <c r="F116" s="25"/>
      <c r="G116" s="25"/>
      <c r="H116" s="25"/>
      <c r="I116" s="25"/>
      <c r="J116" s="34" t="s">
        <v>53</v>
      </c>
    </row>
    <row r="117" ht="15.75" customHeight="1">
      <c r="A117" s="35" t="s">
        <v>86</v>
      </c>
      <c r="B117" s="36" t="s">
        <v>87</v>
      </c>
      <c r="C117" s="35" t="s">
        <v>115</v>
      </c>
      <c r="D117" s="37" t="s">
        <v>150</v>
      </c>
      <c r="E117" s="37" t="s">
        <v>116</v>
      </c>
      <c r="F117" s="25"/>
      <c r="G117" s="25"/>
      <c r="H117" s="25"/>
      <c r="I117" s="25"/>
      <c r="J117" s="39" t="s">
        <v>53</v>
      </c>
    </row>
    <row r="118" ht="15.75" customHeight="1">
      <c r="A118" s="29" t="s">
        <v>88</v>
      </c>
      <c r="B118" s="30" t="s">
        <v>89</v>
      </c>
      <c r="C118" s="31" t="s">
        <v>108</v>
      </c>
      <c r="D118" s="32" t="s">
        <v>150</v>
      </c>
      <c r="E118" s="32" t="s">
        <v>110</v>
      </c>
      <c r="F118" s="25"/>
      <c r="G118" s="25"/>
      <c r="H118" s="25"/>
      <c r="I118" s="25"/>
      <c r="J118" s="34" t="s">
        <v>53</v>
      </c>
    </row>
    <row r="119" ht="15.75" customHeight="1">
      <c r="A119" s="29" t="s">
        <v>90</v>
      </c>
      <c r="B119" s="30" t="s">
        <v>91</v>
      </c>
      <c r="C119" s="31" t="s">
        <v>108</v>
      </c>
      <c r="D119" s="32" t="s">
        <v>150</v>
      </c>
      <c r="E119" s="32" t="s">
        <v>110</v>
      </c>
      <c r="F119" s="25"/>
      <c r="G119" s="25"/>
      <c r="H119" s="25"/>
      <c r="I119" s="25"/>
      <c r="J119" s="34" t="s">
        <v>53</v>
      </c>
    </row>
    <row r="120" ht="15.75" customHeight="1">
      <c r="A120" s="35" t="s">
        <v>90</v>
      </c>
      <c r="B120" s="36" t="s">
        <v>91</v>
      </c>
      <c r="C120" s="35" t="s">
        <v>115</v>
      </c>
      <c r="D120" s="37" t="s">
        <v>150</v>
      </c>
      <c r="E120" s="37" t="s">
        <v>116</v>
      </c>
      <c r="F120" s="25"/>
      <c r="G120" s="25"/>
      <c r="H120" s="25"/>
      <c r="I120" s="25"/>
      <c r="J120" s="39" t="s">
        <v>53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80:I8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34.43"/>
    <col customWidth="1" min="2" max="2" width="14.0"/>
    <col customWidth="1" min="3" max="3" width="13.0"/>
    <col customWidth="1" min="4" max="4" width="26.0"/>
    <col customWidth="1" min="5" max="5" width="22.0"/>
    <col customWidth="1" min="6" max="7" width="10.0"/>
    <col customWidth="1" min="8" max="8" width="12.0"/>
    <col customWidth="1" min="9" max="10" width="10.0"/>
    <col customWidth="1" min="11" max="11" width="12.0"/>
    <col customWidth="1" min="12" max="13" width="10.0"/>
    <col customWidth="1" min="14" max="14" width="12.0"/>
    <col customWidth="1" min="15" max="16" width="10.0"/>
    <col customWidth="1" min="17" max="17" width="12.0"/>
    <col customWidth="1" min="18" max="26" width="8.71"/>
  </cols>
  <sheetData>
    <row r="1" ht="27.75" customHeight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75" customHeight="1">
      <c r="A2" s="73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30.0" customHeight="1">
      <c r="A3" s="5" t="s">
        <v>2</v>
      </c>
      <c r="B3" s="5" t="s">
        <v>98</v>
      </c>
      <c r="C3" s="5" t="s">
        <v>156</v>
      </c>
      <c r="D3" s="5" t="s">
        <v>100</v>
      </c>
      <c r="E3" s="5" t="s">
        <v>157</v>
      </c>
      <c r="F3" s="74" t="s">
        <v>158</v>
      </c>
      <c r="G3" s="74" t="s">
        <v>159</v>
      </c>
      <c r="H3" s="75" t="s">
        <v>160</v>
      </c>
      <c r="I3" s="74" t="s">
        <v>161</v>
      </c>
      <c r="J3" s="74" t="s">
        <v>162</v>
      </c>
      <c r="K3" s="75" t="s">
        <v>163</v>
      </c>
      <c r="L3" s="74" t="s">
        <v>164</v>
      </c>
      <c r="M3" s="74" t="s">
        <v>165</v>
      </c>
      <c r="N3" s="75" t="s">
        <v>166</v>
      </c>
      <c r="O3" s="74" t="s">
        <v>167</v>
      </c>
      <c r="P3" s="74" t="s">
        <v>168</v>
      </c>
      <c r="Q3" s="75" t="s">
        <v>169</v>
      </c>
    </row>
    <row r="4">
      <c r="A4" s="29" t="s">
        <v>8</v>
      </c>
      <c r="B4" s="76" t="s">
        <v>107</v>
      </c>
      <c r="C4" s="31" t="s">
        <v>108</v>
      </c>
      <c r="D4" s="31" t="s">
        <v>109</v>
      </c>
      <c r="E4" s="31" t="s">
        <v>110</v>
      </c>
      <c r="F4" s="77">
        <f>precios_base!E4</f>
        <v>13900</v>
      </c>
      <c r="G4" s="77">
        <f>precios_personalizacion!F14</f>
        <v>1300</v>
      </c>
      <c r="H4" s="78">
        <f>IF(AND(ISNUMBER(precios_base!E4),ISNUMBER(precios_personalizacion!F14)),precios_base!E4+precios_personalizacion!F14,"consultar")</f>
        <v>15200</v>
      </c>
      <c r="I4" s="77">
        <f>precios_base!E5</f>
        <v>13900</v>
      </c>
      <c r="J4" s="77">
        <f>precios_personalizacion!G14</f>
        <v>980</v>
      </c>
      <c r="K4" s="78">
        <f>IF(AND(ISNUMBER(precios_base!E5),ISNUMBER(precios_personalizacion!G14)),precios_base!E5+precios_personalizacion!G14,"consultar")</f>
        <v>14880</v>
      </c>
      <c r="L4" s="77">
        <f>precios_base!E6</f>
        <v>12900</v>
      </c>
      <c r="M4" s="77">
        <f>precios_personalizacion!H14</f>
        <v>900</v>
      </c>
      <c r="N4" s="78">
        <f>IF(AND(ISNUMBER(precios_base!E6),ISNUMBER(precios_personalizacion!H14)),precios_base!E6+precios_personalizacion!H14,"consultar")</f>
        <v>13800</v>
      </c>
      <c r="O4" s="77">
        <f>precios_base!E7</f>
        <v>12900</v>
      </c>
      <c r="P4" s="77">
        <f>precios_personalizacion!I14</f>
        <v>840</v>
      </c>
      <c r="Q4" s="78">
        <f>IF(AND(ISNUMBER(precios_base!E7),ISNUMBER(precios_personalizacion!I14)),precios_base!E7+precios_personalizacion!I14,"consultar")</f>
        <v>13740</v>
      </c>
    </row>
    <row r="5">
      <c r="A5" s="31" t="s">
        <v>8</v>
      </c>
      <c r="B5" s="76" t="s">
        <v>107</v>
      </c>
      <c r="C5" s="31" t="s">
        <v>108</v>
      </c>
      <c r="D5" s="31" t="s">
        <v>109</v>
      </c>
      <c r="E5" s="31" t="s">
        <v>111</v>
      </c>
      <c r="F5" s="77">
        <f>precios_base!E4</f>
        <v>13900</v>
      </c>
      <c r="G5" s="77">
        <f>precios_personalizacion!F15</f>
        <v>2200</v>
      </c>
      <c r="H5" s="78">
        <f>IF(AND(ISNUMBER(precios_base!E4),ISNUMBER(precios_personalizacion!F15)),precios_base!E4+precios_personalizacion!F15,"consultar")</f>
        <v>16100</v>
      </c>
      <c r="I5" s="77">
        <f>precios_base!E5</f>
        <v>13900</v>
      </c>
      <c r="J5" s="77">
        <f>precios_personalizacion!G15</f>
        <v>1600</v>
      </c>
      <c r="K5" s="78">
        <f>IF(AND(ISNUMBER(precios_base!E5),ISNUMBER(precios_personalizacion!G15)),precios_base!E5+precios_personalizacion!G15,"consultar")</f>
        <v>15500</v>
      </c>
      <c r="L5" s="77">
        <f>precios_base!E6</f>
        <v>12900</v>
      </c>
      <c r="M5" s="77">
        <f>precios_personalizacion!H15</f>
        <v>1440</v>
      </c>
      <c r="N5" s="78">
        <f>IF(AND(ISNUMBER(precios_base!E6),ISNUMBER(precios_personalizacion!H15)),precios_base!E6+precios_personalizacion!H15,"consultar")</f>
        <v>14340</v>
      </c>
      <c r="O5" s="77">
        <f>precios_base!E7</f>
        <v>12900</v>
      </c>
      <c r="P5" s="77">
        <f>precios_personalizacion!I15</f>
        <v>1300</v>
      </c>
      <c r="Q5" s="78">
        <f>IF(AND(ISNUMBER(precios_base!E7),ISNUMBER(precios_personalizacion!I15)),precios_base!E7+precios_personalizacion!I15,"consultar")</f>
        <v>14200</v>
      </c>
    </row>
    <row r="6">
      <c r="A6" s="31" t="s">
        <v>8</v>
      </c>
      <c r="B6" s="76" t="s">
        <v>107</v>
      </c>
      <c r="C6" s="31" t="s">
        <v>108</v>
      </c>
      <c r="D6" s="31" t="s">
        <v>109</v>
      </c>
      <c r="E6" s="31" t="s">
        <v>112</v>
      </c>
      <c r="F6" s="77">
        <f>precios_base!E4</f>
        <v>13900</v>
      </c>
      <c r="G6" s="77">
        <f>precios_personalizacion!F16</f>
        <v>2900</v>
      </c>
      <c r="H6" s="78">
        <f>IF(AND(ISNUMBER(precios_base!E4),ISNUMBER(precios_personalizacion!F16)),precios_base!E4+precios_personalizacion!F16,"consultar")</f>
        <v>16800</v>
      </c>
      <c r="I6" s="77">
        <f>precios_base!E5</f>
        <v>13900</v>
      </c>
      <c r="J6" s="77" t="str">
        <f>precios_personalizacion!G16</f>
        <v/>
      </c>
      <c r="K6" s="78" t="str">
        <f>IF(AND(ISNUMBER(precios_base!E5),ISNUMBER(precios_personalizacion!G16)),precios_base!E5+precios_personalizacion!G16,"consultar")</f>
        <v>consultar</v>
      </c>
      <c r="L6" s="77">
        <f>precios_base!E6</f>
        <v>12900</v>
      </c>
      <c r="M6" s="77">
        <f>precios_personalizacion!H16</f>
        <v>1900</v>
      </c>
      <c r="N6" s="78">
        <f>IF(AND(ISNUMBER(precios_base!E6),ISNUMBER(precios_personalizacion!H16)),precios_base!E6+precios_personalizacion!H16,"consultar")</f>
        <v>14800</v>
      </c>
      <c r="O6" s="77">
        <f>precios_base!E7</f>
        <v>12900</v>
      </c>
      <c r="P6" s="77">
        <f>precios_personalizacion!I16</f>
        <v>1750</v>
      </c>
      <c r="Q6" s="78">
        <f>IF(AND(ISNUMBER(precios_base!E7),ISNUMBER(precios_personalizacion!I16)),precios_base!E7+precios_personalizacion!I16,"consultar")</f>
        <v>14650</v>
      </c>
    </row>
    <row r="7">
      <c r="A7" s="31" t="s">
        <v>8</v>
      </c>
      <c r="B7" s="76" t="s">
        <v>107</v>
      </c>
      <c r="C7" s="31" t="s">
        <v>108</v>
      </c>
      <c r="D7" s="31" t="s">
        <v>113</v>
      </c>
      <c r="E7" s="31" t="s">
        <v>112</v>
      </c>
      <c r="F7" s="77">
        <f>precios_base!E4</f>
        <v>13900</v>
      </c>
      <c r="G7" s="77">
        <f>precios_personalizacion!F17</f>
        <v>3900</v>
      </c>
      <c r="H7" s="78">
        <f>IF(AND(ISNUMBER(precios_base!E4),ISNUMBER(precios_personalizacion!F17)),precios_base!E4+precios_personalizacion!F17,"consultar")</f>
        <v>17800</v>
      </c>
      <c r="I7" s="77">
        <f>precios_base!E5</f>
        <v>13900</v>
      </c>
      <c r="J7" s="77">
        <f>precios_personalizacion!G17</f>
        <v>3150</v>
      </c>
      <c r="K7" s="78">
        <f>IF(AND(ISNUMBER(precios_base!E5),ISNUMBER(precios_personalizacion!G17)),precios_base!E5+precios_personalizacion!G17,"consultar")</f>
        <v>17050</v>
      </c>
      <c r="L7" s="77">
        <f>precios_base!E6</f>
        <v>12900</v>
      </c>
      <c r="M7" s="77">
        <f>precios_personalizacion!H17</f>
        <v>2900</v>
      </c>
      <c r="N7" s="78">
        <f>IF(AND(ISNUMBER(precios_base!E6),ISNUMBER(precios_personalizacion!H17)),precios_base!E6+precios_personalizacion!H17,"consultar")</f>
        <v>15800</v>
      </c>
      <c r="O7" s="77">
        <f>precios_base!E7</f>
        <v>12900</v>
      </c>
      <c r="P7" s="77">
        <f>precios_personalizacion!I17</f>
        <v>2650</v>
      </c>
      <c r="Q7" s="78">
        <f>IF(AND(ISNUMBER(precios_base!E7),ISNUMBER(precios_personalizacion!I17)),precios_base!E7+precios_personalizacion!I17,"consultar")</f>
        <v>15550</v>
      </c>
    </row>
    <row r="8">
      <c r="A8" s="31" t="s">
        <v>8</v>
      </c>
      <c r="B8" s="76" t="s">
        <v>107</v>
      </c>
      <c r="C8" s="31" t="s">
        <v>108</v>
      </c>
      <c r="D8" s="31" t="s">
        <v>114</v>
      </c>
      <c r="E8" s="31" t="s">
        <v>112</v>
      </c>
      <c r="F8" s="77">
        <f>precios_base!E4</f>
        <v>13900</v>
      </c>
      <c r="G8" s="77">
        <f>precios_personalizacion!F18</f>
        <v>3900</v>
      </c>
      <c r="H8" s="78">
        <f>IF(AND(ISNUMBER(precios_base!E4),ISNUMBER(precios_personalizacion!F18)),precios_base!E4+precios_personalizacion!F18,"consultar")</f>
        <v>17800</v>
      </c>
      <c r="I8" s="77">
        <f>precios_base!E5</f>
        <v>13900</v>
      </c>
      <c r="J8" s="77">
        <f>precios_personalizacion!G18</f>
        <v>3100</v>
      </c>
      <c r="K8" s="78">
        <f>IF(AND(ISNUMBER(precios_base!E5),ISNUMBER(precios_personalizacion!G18)),precios_base!E5+precios_personalizacion!G18,"consultar")</f>
        <v>17000</v>
      </c>
      <c r="L8" s="77">
        <f>precios_base!E6</f>
        <v>12900</v>
      </c>
      <c r="M8" s="77">
        <f>precios_personalizacion!H18</f>
        <v>2900</v>
      </c>
      <c r="N8" s="78">
        <f>IF(AND(ISNUMBER(precios_base!E6),ISNUMBER(precios_personalizacion!H18)),precios_base!E6+precios_personalizacion!H18,"consultar")</f>
        <v>15800</v>
      </c>
      <c r="O8" s="77">
        <f>precios_base!E7</f>
        <v>12900</v>
      </c>
      <c r="P8" s="77">
        <f>precios_personalizacion!I18</f>
        <v>2600</v>
      </c>
      <c r="Q8" s="78">
        <f>IF(AND(ISNUMBER(precios_base!E7),ISNUMBER(precios_personalizacion!I18)),precios_base!E7+precios_personalizacion!I18,"consultar")</f>
        <v>15500</v>
      </c>
    </row>
    <row r="9">
      <c r="A9" s="35" t="s">
        <v>8</v>
      </c>
      <c r="B9" s="79" t="s">
        <v>107</v>
      </c>
      <c r="C9" s="35" t="s">
        <v>115</v>
      </c>
      <c r="D9" s="35" t="s">
        <v>109</v>
      </c>
      <c r="E9" s="35" t="s">
        <v>110</v>
      </c>
      <c r="F9" s="80">
        <f>precios_base!E4</f>
        <v>13900</v>
      </c>
      <c r="G9" s="80">
        <f>precios_personalizacion!F19</f>
        <v>1200</v>
      </c>
      <c r="H9" s="78">
        <f>IF(AND(ISNUMBER(precios_base!E4),ISNUMBER(precios_personalizacion!F19)),precios_base!E4+precios_personalizacion!F19,"consultar")</f>
        <v>15100</v>
      </c>
      <c r="I9" s="80">
        <f>precios_base!E5</f>
        <v>13900</v>
      </c>
      <c r="J9" s="80">
        <f>precios_personalizacion!G19</f>
        <v>1100</v>
      </c>
      <c r="K9" s="78">
        <f>IF(AND(ISNUMBER(precios_base!E5),ISNUMBER(precios_personalizacion!G19)),precios_base!E5+precios_personalizacion!G19,"consultar")</f>
        <v>15000</v>
      </c>
      <c r="L9" s="80">
        <f>precios_base!E6</f>
        <v>12900</v>
      </c>
      <c r="M9" s="80">
        <f>precios_personalizacion!H19</f>
        <v>900</v>
      </c>
      <c r="N9" s="78">
        <f>IF(AND(ISNUMBER(precios_base!E6),ISNUMBER(precios_personalizacion!H19)),precios_base!E6+precios_personalizacion!H19,"consultar")</f>
        <v>13800</v>
      </c>
      <c r="O9" s="80">
        <f>precios_base!E7</f>
        <v>12900</v>
      </c>
      <c r="P9" s="80">
        <f>precios_personalizacion!I19</f>
        <v>800</v>
      </c>
      <c r="Q9" s="78">
        <f>IF(AND(ISNUMBER(precios_base!E7),ISNUMBER(precios_personalizacion!I19)),precios_base!E7+precios_personalizacion!I19,"consultar")</f>
        <v>13700</v>
      </c>
    </row>
    <row r="10">
      <c r="A10" s="35" t="s">
        <v>8</v>
      </c>
      <c r="B10" s="79" t="s">
        <v>107</v>
      </c>
      <c r="C10" s="35" t="s">
        <v>115</v>
      </c>
      <c r="D10" s="35" t="s">
        <v>109</v>
      </c>
      <c r="E10" s="35" t="s">
        <v>116</v>
      </c>
      <c r="F10" s="80">
        <f>precios_base!E4</f>
        <v>13900</v>
      </c>
      <c r="G10" s="80">
        <f>precios_personalizacion!F21</f>
        <v>1200</v>
      </c>
      <c r="H10" s="78">
        <f>IF(AND(ISNUMBER(precios_base!E4),ISNUMBER(precios_personalizacion!F21)),precios_base!E4+precios_personalizacion!F21,"consultar")</f>
        <v>15100</v>
      </c>
      <c r="I10" s="80">
        <f>precios_base!E5</f>
        <v>13900</v>
      </c>
      <c r="J10" s="80">
        <f>precios_personalizacion!G21</f>
        <v>1100</v>
      </c>
      <c r="K10" s="78">
        <f>IF(AND(ISNUMBER(precios_base!E5),ISNUMBER(precios_personalizacion!G21)),precios_base!E5+precios_personalizacion!G21,"consultar")</f>
        <v>15000</v>
      </c>
      <c r="L10" s="80">
        <f>precios_base!E6</f>
        <v>12900</v>
      </c>
      <c r="M10" s="80">
        <f>precios_personalizacion!H21</f>
        <v>900</v>
      </c>
      <c r="N10" s="78">
        <f>IF(AND(ISNUMBER(precios_base!E6),ISNUMBER(precios_personalizacion!H21)),precios_base!E6+precios_personalizacion!H21,"consultar")</f>
        <v>13800</v>
      </c>
      <c r="O10" s="80">
        <f>precios_base!E7</f>
        <v>12900</v>
      </c>
      <c r="P10" s="80">
        <f>precios_personalizacion!I21</f>
        <v>800</v>
      </c>
      <c r="Q10" s="78">
        <f>IF(AND(ISNUMBER(precios_base!E7),ISNUMBER(precios_personalizacion!I21)),precios_base!E7+precios_personalizacion!I21,"consultar")</f>
        <v>13700</v>
      </c>
    </row>
    <row r="11">
      <c r="A11" s="35" t="s">
        <v>8</v>
      </c>
      <c r="B11" s="79" t="s">
        <v>107</v>
      </c>
      <c r="C11" s="35" t="s">
        <v>115</v>
      </c>
      <c r="D11" s="35" t="s">
        <v>113</v>
      </c>
      <c r="E11" s="35" t="s">
        <v>116</v>
      </c>
      <c r="F11" s="80">
        <f>precios_base!E4</f>
        <v>13900</v>
      </c>
      <c r="G11" s="80">
        <f>precios_personalizacion!F22</f>
        <v>2400</v>
      </c>
      <c r="H11" s="78">
        <f>IF(AND(ISNUMBER(precios_base!E4),ISNUMBER(precios_personalizacion!F22)),precios_base!E4+precios_personalizacion!F22,"consultar")</f>
        <v>16300</v>
      </c>
      <c r="I11" s="80">
        <f>precios_base!E5</f>
        <v>13900</v>
      </c>
      <c r="J11" s="80">
        <f>precios_personalizacion!G22</f>
        <v>1900</v>
      </c>
      <c r="K11" s="78">
        <f>IF(AND(ISNUMBER(precios_base!E5),ISNUMBER(precios_personalizacion!G22)),precios_base!E5+precios_personalizacion!G22,"consultar")</f>
        <v>15800</v>
      </c>
      <c r="L11" s="80">
        <f>precios_base!E6</f>
        <v>12900</v>
      </c>
      <c r="M11" s="80">
        <f>precios_personalizacion!H22</f>
        <v>1700</v>
      </c>
      <c r="N11" s="78">
        <f>IF(AND(ISNUMBER(precios_base!E6),ISNUMBER(precios_personalizacion!H22)),precios_base!E6+precios_personalizacion!H22,"consultar")</f>
        <v>14600</v>
      </c>
      <c r="O11" s="80">
        <f>precios_base!E7</f>
        <v>12900</v>
      </c>
      <c r="P11" s="80">
        <f>precios_personalizacion!I22</f>
        <v>1500</v>
      </c>
      <c r="Q11" s="78">
        <f>IF(AND(ISNUMBER(precios_base!E7),ISNUMBER(precios_personalizacion!I22)),precios_base!E7+precios_personalizacion!I22,"consultar")</f>
        <v>14400</v>
      </c>
    </row>
    <row r="12">
      <c r="A12" s="35" t="s">
        <v>8</v>
      </c>
      <c r="B12" s="79" t="s">
        <v>107</v>
      </c>
      <c r="C12" s="35" t="s">
        <v>115</v>
      </c>
      <c r="D12" s="35" t="s">
        <v>114</v>
      </c>
      <c r="E12" s="35" t="s">
        <v>116</v>
      </c>
      <c r="F12" s="80">
        <f>precios_base!E4</f>
        <v>13900</v>
      </c>
      <c r="G12" s="80">
        <f>precios_personalizacion!F13</f>
        <v>2000</v>
      </c>
      <c r="H12" s="78">
        <f>IF(AND(ISNUMBER(precios_base!E4),ISNUMBER(precios_personalizacion!F13)),precios_base!E4+precios_personalizacion!F13,"consultar")</f>
        <v>15900</v>
      </c>
      <c r="I12" s="80">
        <f>precios_base!E5</f>
        <v>13900</v>
      </c>
      <c r="J12" s="80">
        <f>precios_personalizacion!G13</f>
        <v>1600</v>
      </c>
      <c r="K12" s="78">
        <f>IF(AND(ISNUMBER(precios_base!E5),ISNUMBER(precios_personalizacion!G13)),precios_base!E5+precios_personalizacion!G13,"consultar")</f>
        <v>15500</v>
      </c>
      <c r="L12" s="80">
        <f>precios_base!E6</f>
        <v>12900</v>
      </c>
      <c r="M12" s="80">
        <f>precios_personalizacion!H13</f>
        <v>1400</v>
      </c>
      <c r="N12" s="78">
        <f>IF(AND(ISNUMBER(precios_base!E6),ISNUMBER(precios_personalizacion!H13)),precios_base!E6+precios_personalizacion!H13,"consultar")</f>
        <v>14300</v>
      </c>
      <c r="O12" s="80">
        <f>precios_base!E7</f>
        <v>12900</v>
      </c>
      <c r="P12" s="80">
        <f>precios_personalizacion!I13</f>
        <v>1300</v>
      </c>
      <c r="Q12" s="78">
        <f>IF(AND(ISNUMBER(precios_base!E7),ISNUMBER(precios_personalizacion!I13)),precios_base!E7+precios_personalizacion!I13,"consultar")</f>
        <v>14200</v>
      </c>
    </row>
    <row r="13">
      <c r="A13" s="31" t="s">
        <v>8</v>
      </c>
      <c r="B13" s="76" t="s">
        <v>117</v>
      </c>
      <c r="C13" s="31" t="s">
        <v>108</v>
      </c>
      <c r="D13" s="31" t="s">
        <v>109</v>
      </c>
      <c r="E13" s="31" t="s">
        <v>110</v>
      </c>
      <c r="F13" s="77">
        <f>precios_base!E4</f>
        <v>13900</v>
      </c>
      <c r="G13" s="77">
        <f>precios_personalizacion!F14</f>
        <v>1300</v>
      </c>
      <c r="H13" s="78">
        <f>IF(AND(ISNUMBER(precios_base!E4),ISNUMBER(precios_personalizacion!F14)),precios_base!E4+precios_personalizacion!F14,"consultar")</f>
        <v>15200</v>
      </c>
      <c r="I13" s="77">
        <f>precios_base!E5</f>
        <v>13900</v>
      </c>
      <c r="J13" s="77">
        <f>precios_personalizacion!G14</f>
        <v>980</v>
      </c>
      <c r="K13" s="78">
        <f>IF(AND(ISNUMBER(precios_base!E5),ISNUMBER(precios_personalizacion!G14)),precios_base!E5+precios_personalizacion!G14,"consultar")</f>
        <v>14880</v>
      </c>
      <c r="L13" s="77">
        <f>precios_base!E6</f>
        <v>12900</v>
      </c>
      <c r="M13" s="77">
        <f>precios_personalizacion!H14</f>
        <v>900</v>
      </c>
      <c r="N13" s="78">
        <f>IF(AND(ISNUMBER(precios_base!E6),ISNUMBER(precios_personalizacion!H14)),precios_base!E6+precios_personalizacion!H14,"consultar")</f>
        <v>13800</v>
      </c>
      <c r="O13" s="77">
        <f>precios_base!E7</f>
        <v>12900</v>
      </c>
      <c r="P13" s="77">
        <f>precios_personalizacion!I14</f>
        <v>840</v>
      </c>
      <c r="Q13" s="78">
        <f>IF(AND(ISNUMBER(precios_base!E7),ISNUMBER(precios_personalizacion!I14)),precios_base!E7+precios_personalizacion!I14,"consultar")</f>
        <v>13740</v>
      </c>
    </row>
    <row r="14">
      <c r="A14" s="31" t="s">
        <v>8</v>
      </c>
      <c r="B14" s="76" t="s">
        <v>117</v>
      </c>
      <c r="C14" s="31" t="s">
        <v>108</v>
      </c>
      <c r="D14" s="31" t="s">
        <v>109</v>
      </c>
      <c r="E14" s="31" t="s">
        <v>111</v>
      </c>
      <c r="F14" s="77">
        <f>precios_base!E4</f>
        <v>13900</v>
      </c>
      <c r="G14" s="77">
        <f>precios_personalizacion!F15</f>
        <v>2200</v>
      </c>
      <c r="H14" s="78">
        <f>IF(AND(ISNUMBER(precios_base!E4),ISNUMBER(precios_personalizacion!F15)),precios_base!E4+precios_personalizacion!F15,"consultar")</f>
        <v>16100</v>
      </c>
      <c r="I14" s="77">
        <f>precios_base!E5</f>
        <v>13900</v>
      </c>
      <c r="J14" s="77">
        <f>precios_personalizacion!G15</f>
        <v>1600</v>
      </c>
      <c r="K14" s="78">
        <f>IF(AND(ISNUMBER(precios_base!E5),ISNUMBER(precios_personalizacion!G15)),precios_base!E5+precios_personalizacion!G15,"consultar")</f>
        <v>15500</v>
      </c>
      <c r="L14" s="77">
        <f>precios_base!E6</f>
        <v>12900</v>
      </c>
      <c r="M14" s="77">
        <f>precios_personalizacion!H15</f>
        <v>1440</v>
      </c>
      <c r="N14" s="78">
        <f>IF(AND(ISNUMBER(precios_base!E6),ISNUMBER(precios_personalizacion!H15)),precios_base!E6+precios_personalizacion!H15,"consultar")</f>
        <v>14340</v>
      </c>
      <c r="O14" s="77">
        <f>precios_base!E7</f>
        <v>12900</v>
      </c>
      <c r="P14" s="77">
        <f>precios_personalizacion!I15</f>
        <v>1300</v>
      </c>
      <c r="Q14" s="78">
        <f>IF(AND(ISNUMBER(precios_base!E7),ISNUMBER(precios_personalizacion!I15)),precios_base!E7+precios_personalizacion!I15,"consultar")</f>
        <v>14200</v>
      </c>
    </row>
    <row r="15">
      <c r="A15" s="31" t="s">
        <v>8</v>
      </c>
      <c r="B15" s="76" t="s">
        <v>117</v>
      </c>
      <c r="C15" s="31" t="s">
        <v>108</v>
      </c>
      <c r="D15" s="31" t="s">
        <v>109</v>
      </c>
      <c r="E15" s="31" t="s">
        <v>112</v>
      </c>
      <c r="F15" s="77">
        <f>precios_base!E4</f>
        <v>13900</v>
      </c>
      <c r="G15" s="77">
        <f>precios_personalizacion!F16</f>
        <v>2900</v>
      </c>
      <c r="H15" s="78">
        <f>IF(AND(ISNUMBER(precios_base!E4),ISNUMBER(precios_personalizacion!F16)),precios_base!E4+precios_personalizacion!F16,"consultar")</f>
        <v>16800</v>
      </c>
      <c r="I15" s="77">
        <f>precios_base!E5</f>
        <v>13900</v>
      </c>
      <c r="J15" s="77" t="str">
        <f>precios_personalizacion!G16</f>
        <v/>
      </c>
      <c r="K15" s="78" t="str">
        <f>IF(AND(ISNUMBER(precios_base!E5),ISNUMBER(precios_personalizacion!G16)),precios_base!E5+precios_personalizacion!G16,"consultar")</f>
        <v>consultar</v>
      </c>
      <c r="L15" s="77">
        <f>precios_base!E6</f>
        <v>12900</v>
      </c>
      <c r="M15" s="77">
        <f>precios_personalizacion!H16</f>
        <v>1900</v>
      </c>
      <c r="N15" s="78">
        <f>IF(AND(ISNUMBER(precios_base!E6),ISNUMBER(precios_personalizacion!H16)),precios_base!E6+precios_personalizacion!H16,"consultar")</f>
        <v>14800</v>
      </c>
      <c r="O15" s="77">
        <f>precios_base!E7</f>
        <v>12900</v>
      </c>
      <c r="P15" s="77">
        <f>precios_personalizacion!I16</f>
        <v>1750</v>
      </c>
      <c r="Q15" s="78">
        <f>IF(AND(ISNUMBER(precios_base!E7),ISNUMBER(precios_personalizacion!I16)),precios_base!E7+precios_personalizacion!I16,"consultar")</f>
        <v>14650</v>
      </c>
    </row>
    <row r="16">
      <c r="A16" s="31" t="s">
        <v>8</v>
      </c>
      <c r="B16" s="76" t="s">
        <v>117</v>
      </c>
      <c r="C16" s="31" t="s">
        <v>108</v>
      </c>
      <c r="D16" s="31" t="s">
        <v>113</v>
      </c>
      <c r="E16" s="31" t="s">
        <v>112</v>
      </c>
      <c r="F16" s="77">
        <f>precios_base!E4</f>
        <v>13900</v>
      </c>
      <c r="G16" s="77">
        <f>precios_personalizacion!F17</f>
        <v>3900</v>
      </c>
      <c r="H16" s="78">
        <f>IF(AND(ISNUMBER(precios_base!E4),ISNUMBER(precios_personalizacion!F17)),precios_base!E4+precios_personalizacion!F17,"consultar")</f>
        <v>17800</v>
      </c>
      <c r="I16" s="77">
        <f>precios_base!E5</f>
        <v>13900</v>
      </c>
      <c r="J16" s="77">
        <f>precios_personalizacion!G17</f>
        <v>3150</v>
      </c>
      <c r="K16" s="78">
        <f>IF(AND(ISNUMBER(precios_base!E5),ISNUMBER(precios_personalizacion!G17)),precios_base!E5+precios_personalizacion!G17,"consultar")</f>
        <v>17050</v>
      </c>
      <c r="L16" s="77">
        <f>precios_base!E6</f>
        <v>12900</v>
      </c>
      <c r="M16" s="77">
        <f>precios_personalizacion!H17</f>
        <v>2900</v>
      </c>
      <c r="N16" s="78">
        <f>IF(AND(ISNUMBER(precios_base!E6),ISNUMBER(precios_personalizacion!H17)),precios_base!E6+precios_personalizacion!H17,"consultar")</f>
        <v>15800</v>
      </c>
      <c r="O16" s="77">
        <f>precios_base!E7</f>
        <v>12900</v>
      </c>
      <c r="P16" s="77">
        <f>precios_personalizacion!I17</f>
        <v>2650</v>
      </c>
      <c r="Q16" s="78">
        <f>IF(AND(ISNUMBER(precios_base!E7),ISNUMBER(precios_personalizacion!I17)),precios_base!E7+precios_personalizacion!I17,"consultar")</f>
        <v>15550</v>
      </c>
    </row>
    <row r="17">
      <c r="A17" s="35" t="s">
        <v>8</v>
      </c>
      <c r="B17" s="79" t="s">
        <v>117</v>
      </c>
      <c r="C17" s="35" t="s">
        <v>115</v>
      </c>
      <c r="D17" s="35" t="s">
        <v>109</v>
      </c>
      <c r="E17" s="35" t="s">
        <v>110</v>
      </c>
      <c r="F17" s="80">
        <f>precios_base!E4</f>
        <v>13900</v>
      </c>
      <c r="G17" s="80">
        <f>precios_personalizacion!F19</f>
        <v>1200</v>
      </c>
      <c r="H17" s="78">
        <f>IF(AND(ISNUMBER(precios_base!E4),ISNUMBER(precios_personalizacion!F19)),precios_base!E4+precios_personalizacion!F19,"consultar")</f>
        <v>15100</v>
      </c>
      <c r="I17" s="80">
        <f>precios_base!E5</f>
        <v>13900</v>
      </c>
      <c r="J17" s="80">
        <f>precios_personalizacion!G19</f>
        <v>1100</v>
      </c>
      <c r="K17" s="78">
        <f>IF(AND(ISNUMBER(precios_base!E5),ISNUMBER(precios_personalizacion!G19)),precios_base!E5+precios_personalizacion!G19,"consultar")</f>
        <v>15000</v>
      </c>
      <c r="L17" s="80">
        <f>precios_base!E6</f>
        <v>12900</v>
      </c>
      <c r="M17" s="80">
        <f>precios_personalizacion!H19</f>
        <v>900</v>
      </c>
      <c r="N17" s="78">
        <f>IF(AND(ISNUMBER(precios_base!E6),ISNUMBER(precios_personalizacion!H19)),precios_base!E6+precios_personalizacion!H19,"consultar")</f>
        <v>13800</v>
      </c>
      <c r="O17" s="80">
        <f>precios_base!E7</f>
        <v>12900</v>
      </c>
      <c r="P17" s="80">
        <f>precios_personalizacion!I19</f>
        <v>800</v>
      </c>
      <c r="Q17" s="78">
        <f>IF(AND(ISNUMBER(precios_base!E7),ISNUMBER(precios_personalizacion!I19)),precios_base!E7+precios_personalizacion!I19,"consultar")</f>
        <v>13700</v>
      </c>
    </row>
    <row r="18">
      <c r="A18" s="35" t="s">
        <v>8</v>
      </c>
      <c r="B18" s="79" t="s">
        <v>117</v>
      </c>
      <c r="C18" s="35" t="s">
        <v>115</v>
      </c>
      <c r="D18" s="35" t="s">
        <v>109</v>
      </c>
      <c r="E18" s="35" t="s">
        <v>116</v>
      </c>
      <c r="F18" s="80">
        <f>precios_base!E4</f>
        <v>13900</v>
      </c>
      <c r="G18" s="80">
        <f>precios_personalizacion!F21</f>
        <v>1200</v>
      </c>
      <c r="H18" s="78">
        <f>IF(AND(ISNUMBER(precios_base!E4),ISNUMBER(precios_personalizacion!F21)),precios_base!E4+precios_personalizacion!F21,"consultar")</f>
        <v>15100</v>
      </c>
      <c r="I18" s="80">
        <f>precios_base!E5</f>
        <v>13900</v>
      </c>
      <c r="J18" s="80">
        <f>precios_personalizacion!G21</f>
        <v>1100</v>
      </c>
      <c r="K18" s="78">
        <f>IF(AND(ISNUMBER(precios_base!E5),ISNUMBER(precios_personalizacion!G21)),precios_base!E5+precios_personalizacion!G21,"consultar")</f>
        <v>15000</v>
      </c>
      <c r="L18" s="80">
        <f>precios_base!E6</f>
        <v>12900</v>
      </c>
      <c r="M18" s="80">
        <f>precios_personalizacion!H21</f>
        <v>900</v>
      </c>
      <c r="N18" s="78">
        <f>IF(AND(ISNUMBER(precios_base!E6),ISNUMBER(precios_personalizacion!H21)),precios_base!E6+precios_personalizacion!H21,"consultar")</f>
        <v>13800</v>
      </c>
      <c r="O18" s="80">
        <f>precios_base!E7</f>
        <v>12900</v>
      </c>
      <c r="P18" s="80">
        <f>precios_personalizacion!I21</f>
        <v>800</v>
      </c>
      <c r="Q18" s="78">
        <f>IF(AND(ISNUMBER(precios_base!E7),ISNUMBER(precios_personalizacion!I21)),precios_base!E7+precios_personalizacion!I21,"consultar")</f>
        <v>13700</v>
      </c>
    </row>
    <row r="19">
      <c r="A19" s="35" t="s">
        <v>8</v>
      </c>
      <c r="B19" s="79" t="s">
        <v>117</v>
      </c>
      <c r="C19" s="35" t="s">
        <v>115</v>
      </c>
      <c r="D19" s="35" t="s">
        <v>113</v>
      </c>
      <c r="E19" s="35" t="s">
        <v>116</v>
      </c>
      <c r="F19" s="80">
        <f>precios_base!E4</f>
        <v>13900</v>
      </c>
      <c r="G19" s="80">
        <f>precios_personalizacion!F22</f>
        <v>2400</v>
      </c>
      <c r="H19" s="78">
        <f>IF(AND(ISNUMBER(precios_base!E4),ISNUMBER(precios_personalizacion!F22)),precios_base!E4+precios_personalizacion!F22,"consultar")</f>
        <v>16300</v>
      </c>
      <c r="I19" s="80">
        <f>precios_base!E5</f>
        <v>13900</v>
      </c>
      <c r="J19" s="80">
        <f>precios_personalizacion!G22</f>
        <v>1900</v>
      </c>
      <c r="K19" s="78">
        <f>IF(AND(ISNUMBER(precios_base!E5),ISNUMBER(precios_personalizacion!G22)),precios_base!E5+precios_personalizacion!G22,"consultar")</f>
        <v>15800</v>
      </c>
      <c r="L19" s="80">
        <f>precios_base!E6</f>
        <v>12900</v>
      </c>
      <c r="M19" s="80">
        <f>precios_personalizacion!H22</f>
        <v>1700</v>
      </c>
      <c r="N19" s="78">
        <f>IF(AND(ISNUMBER(precios_base!E6),ISNUMBER(precios_personalizacion!H22)),precios_base!E6+precios_personalizacion!H22,"consultar")</f>
        <v>14600</v>
      </c>
      <c r="O19" s="80">
        <f>precios_base!E7</f>
        <v>12900</v>
      </c>
      <c r="P19" s="80">
        <f>precios_personalizacion!I22</f>
        <v>1500</v>
      </c>
      <c r="Q19" s="78">
        <f>IF(AND(ISNUMBER(precios_base!E7),ISNUMBER(precios_personalizacion!I22)),precios_base!E7+precios_personalizacion!I22,"consultar")</f>
        <v>14400</v>
      </c>
    </row>
    <row r="20">
      <c r="A20" s="35" t="s">
        <v>8</v>
      </c>
      <c r="B20" s="79" t="s">
        <v>117</v>
      </c>
      <c r="C20" s="35" t="s">
        <v>115</v>
      </c>
      <c r="D20" s="35" t="s">
        <v>118</v>
      </c>
      <c r="E20" s="35" t="s">
        <v>116</v>
      </c>
      <c r="F20" s="80">
        <f>precios_base!E4</f>
        <v>13900</v>
      </c>
      <c r="G20" s="80">
        <f>precios_personalizacion!F23</f>
        <v>2000</v>
      </c>
      <c r="H20" s="78">
        <f>IF(AND(ISNUMBER(precios_base!E4),ISNUMBER(precios_personalizacion!F23)),precios_base!E4+precios_personalizacion!F23,"consultar")</f>
        <v>15900</v>
      </c>
      <c r="I20" s="80">
        <f>precios_base!E5</f>
        <v>13900</v>
      </c>
      <c r="J20" s="80">
        <f>precios_personalizacion!G23</f>
        <v>1800</v>
      </c>
      <c r="K20" s="78">
        <f>IF(AND(ISNUMBER(precios_base!E5),ISNUMBER(precios_personalizacion!G23)),precios_base!E5+precios_personalizacion!G23,"consultar")</f>
        <v>15700</v>
      </c>
      <c r="L20" s="80">
        <f>precios_base!E6</f>
        <v>12900</v>
      </c>
      <c r="M20" s="80">
        <f>precios_personalizacion!H23</f>
        <v>1600</v>
      </c>
      <c r="N20" s="78">
        <f>IF(AND(ISNUMBER(precios_base!E6),ISNUMBER(precios_personalizacion!H23)),precios_base!E6+precios_personalizacion!H23,"consultar")</f>
        <v>14500</v>
      </c>
      <c r="O20" s="80">
        <f>precios_base!E7</f>
        <v>12900</v>
      </c>
      <c r="P20" s="80">
        <f>precios_personalizacion!I23</f>
        <v>1400</v>
      </c>
      <c r="Q20" s="78">
        <f>IF(AND(ISNUMBER(precios_base!E7),ISNUMBER(precios_personalizacion!I23)),precios_base!E7+precios_personalizacion!I23,"consultar")</f>
        <v>14300</v>
      </c>
    </row>
    <row r="21" ht="15.75" customHeight="1">
      <c r="A21" s="29" t="s">
        <v>15</v>
      </c>
      <c r="B21" s="76"/>
      <c r="C21" s="31" t="s">
        <v>108</v>
      </c>
      <c r="D21" s="31" t="s">
        <v>109</v>
      </c>
      <c r="E21" s="31" t="s">
        <v>110</v>
      </c>
      <c r="F21" s="77">
        <f>precios_base!E24</f>
        <v>8999</v>
      </c>
      <c r="G21" s="77">
        <f>precios_personalizacion!F26</f>
        <v>1100</v>
      </c>
      <c r="H21" s="78">
        <f>IF(AND(ISNUMBER(precios_base!E24),ISNUMBER(precios_personalizacion!F26)),precios_base!E24+precios_personalizacion!F26,"consultar")</f>
        <v>10099</v>
      </c>
      <c r="I21" s="77">
        <f>precios_base!E25</f>
        <v>7999</v>
      </c>
      <c r="J21" s="77">
        <f>precios_personalizacion!G26</f>
        <v>980</v>
      </c>
      <c r="K21" s="78">
        <f>IF(AND(ISNUMBER(precios_base!E25),ISNUMBER(precios_personalizacion!G26)),precios_base!E25+precios_personalizacion!G26,"consultar")</f>
        <v>8979</v>
      </c>
      <c r="L21" s="77">
        <f>precios_base!E26</f>
        <v>7999</v>
      </c>
      <c r="M21" s="77">
        <f>precios_personalizacion!H26</f>
        <v>900</v>
      </c>
      <c r="N21" s="78">
        <f>IF(AND(ISNUMBER(precios_base!E26),ISNUMBER(precios_personalizacion!H26)),precios_base!E26+precios_personalizacion!H26,"consultar")</f>
        <v>8899</v>
      </c>
      <c r="O21" s="77">
        <f>precios_base!E27</f>
        <v>7999</v>
      </c>
      <c r="P21" s="77">
        <f>precios_personalizacion!I26</f>
        <v>800</v>
      </c>
      <c r="Q21" s="78">
        <f>IF(AND(ISNUMBER(precios_base!E27),ISNUMBER(precios_personalizacion!I26)),precios_base!E27+precios_personalizacion!I26,"consultar")</f>
        <v>8799</v>
      </c>
    </row>
    <row r="22" ht="15.75" customHeight="1">
      <c r="A22" s="35" t="s">
        <v>15</v>
      </c>
      <c r="B22" s="79"/>
      <c r="C22" s="35" t="s">
        <v>115</v>
      </c>
      <c r="D22" s="35" t="s">
        <v>109</v>
      </c>
      <c r="E22" s="35" t="s">
        <v>110</v>
      </c>
      <c r="F22" s="80">
        <f>precios_base!E24</f>
        <v>8999</v>
      </c>
      <c r="G22" s="80">
        <f>precios_personalizacion!F27</f>
        <v>1100</v>
      </c>
      <c r="H22" s="78">
        <f>IF(AND(ISNUMBER(precios_base!E24),ISNUMBER(precios_personalizacion!F27)),precios_base!E24+precios_personalizacion!F27,"consultar")</f>
        <v>10099</v>
      </c>
      <c r="I22" s="80">
        <f>precios_base!E25</f>
        <v>7999</v>
      </c>
      <c r="J22" s="80">
        <f>precios_personalizacion!G27</f>
        <v>980</v>
      </c>
      <c r="K22" s="78">
        <f>IF(AND(ISNUMBER(precios_base!E25),ISNUMBER(precios_personalizacion!G27)),precios_base!E25+precios_personalizacion!G27,"consultar")</f>
        <v>8979</v>
      </c>
      <c r="L22" s="80">
        <f>precios_base!E26</f>
        <v>7999</v>
      </c>
      <c r="M22" s="80">
        <f>precios_personalizacion!H27</f>
        <v>800</v>
      </c>
      <c r="N22" s="78">
        <f>IF(AND(ISNUMBER(precios_base!E26),ISNUMBER(precios_personalizacion!H27)),precios_base!E26+precios_personalizacion!H27,"consultar")</f>
        <v>8799</v>
      </c>
      <c r="O22" s="80">
        <f>precios_base!E27</f>
        <v>7999</v>
      </c>
      <c r="P22" s="80">
        <f>precios_personalizacion!I27</f>
        <v>750</v>
      </c>
      <c r="Q22" s="78">
        <f>IF(AND(ISNUMBER(precios_base!E27),ISNUMBER(precios_personalizacion!I27)),precios_base!E27+precios_personalizacion!I27,"consultar")</f>
        <v>8749</v>
      </c>
    </row>
    <row r="23" ht="15.75" customHeight="1">
      <c r="A23" s="42" t="s">
        <v>15</v>
      </c>
      <c r="B23" s="81"/>
      <c r="C23" s="42" t="s">
        <v>119</v>
      </c>
      <c r="D23" s="42" t="s">
        <v>109</v>
      </c>
      <c r="E23" s="42"/>
      <c r="F23" s="82">
        <f>precios_base!E24</f>
        <v>8999</v>
      </c>
      <c r="G23" s="82">
        <f>precios_personalizacion!F24</f>
        <v>1573</v>
      </c>
      <c r="H23" s="78">
        <f>IF(AND(ISNUMBER(precios_base!E24),ISNUMBER(precios_personalizacion!F24)),precios_base!E24+precios_personalizacion!F24,"consultar")</f>
        <v>10572</v>
      </c>
      <c r="I23" s="82">
        <f>precios_base!E25</f>
        <v>7999</v>
      </c>
      <c r="J23" s="82">
        <f>precios_personalizacion!G24</f>
        <v>1452</v>
      </c>
      <c r="K23" s="78">
        <f>IF(AND(ISNUMBER(precios_base!E25),ISNUMBER(precios_personalizacion!G24)),precios_base!E25+precios_personalizacion!G24,"consultar")</f>
        <v>9451</v>
      </c>
      <c r="L23" s="82">
        <f>precios_base!E26</f>
        <v>7999</v>
      </c>
      <c r="M23" s="82" t="str">
        <f>precios_personalizacion!H24</f>
        <v/>
      </c>
      <c r="N23" s="78" t="str">
        <f>IF(AND(ISNUMBER(precios_base!E26),ISNUMBER(precios_personalizacion!H24)),precios_base!E26+precios_personalizacion!H24,"consultar")</f>
        <v>consultar</v>
      </c>
      <c r="O23" s="82">
        <f>precios_base!E27</f>
        <v>7999</v>
      </c>
      <c r="P23" s="82" t="str">
        <f>precios_personalizacion!I24</f>
        <v/>
      </c>
      <c r="Q23" s="78" t="str">
        <f>IF(AND(ISNUMBER(precios_base!E27),ISNUMBER(precios_personalizacion!I24)),precios_base!E27+precios_personalizacion!I24,"consultar")</f>
        <v>consultar</v>
      </c>
    </row>
    <row r="24" ht="15.75" customHeight="1">
      <c r="A24" s="42" t="s">
        <v>15</v>
      </c>
      <c r="B24" s="81"/>
      <c r="C24" s="42" t="s">
        <v>119</v>
      </c>
      <c r="D24" s="42" t="s">
        <v>120</v>
      </c>
      <c r="E24" s="42"/>
      <c r="F24" s="82">
        <f>precios_base!E24</f>
        <v>8999</v>
      </c>
      <c r="G24" s="82">
        <f>precios_personalizacion!F25</f>
        <v>2299</v>
      </c>
      <c r="H24" s="78">
        <f>IF(AND(ISNUMBER(precios_base!E24),ISNUMBER(precios_personalizacion!F25)),precios_base!E24+precios_personalizacion!F25,"consultar")</f>
        <v>11298</v>
      </c>
      <c r="I24" s="82">
        <f>precios_base!E25</f>
        <v>7999</v>
      </c>
      <c r="J24" s="82">
        <f>precios_personalizacion!G25</f>
        <v>2178</v>
      </c>
      <c r="K24" s="78">
        <f>IF(AND(ISNUMBER(precios_base!E25),ISNUMBER(precios_personalizacion!G25)),precios_base!E25+precios_personalizacion!G25,"consultar")</f>
        <v>10177</v>
      </c>
      <c r="L24" s="82">
        <f>precios_base!E26</f>
        <v>7999</v>
      </c>
      <c r="M24" s="82" t="str">
        <f>precios_personalizacion!H25</f>
        <v/>
      </c>
      <c r="N24" s="78" t="str">
        <f>IF(AND(ISNUMBER(precios_base!E26),ISNUMBER(precios_personalizacion!H25)),precios_base!E26+precios_personalizacion!H25,"consultar")</f>
        <v>consultar</v>
      </c>
      <c r="O24" s="82">
        <f>precios_base!E27</f>
        <v>7999</v>
      </c>
      <c r="P24" s="82" t="str">
        <f>precios_personalizacion!I25</f>
        <v/>
      </c>
      <c r="Q24" s="78" t="str">
        <f>IF(AND(ISNUMBER(precios_base!E27),ISNUMBER(precios_personalizacion!I25)),precios_base!E27+precios_personalizacion!I25,"consultar")</f>
        <v>consultar</v>
      </c>
    </row>
    <row r="25" ht="15.75" customHeight="1">
      <c r="A25" s="29" t="s">
        <v>93</v>
      </c>
      <c r="B25" s="76"/>
      <c r="C25" s="31" t="s">
        <v>108</v>
      </c>
      <c r="D25" s="31" t="s">
        <v>109</v>
      </c>
      <c r="E25" s="31" t="s">
        <v>110</v>
      </c>
      <c r="F25" s="77">
        <f>precios_base!E285</f>
        <v>5690</v>
      </c>
      <c r="G25" s="77">
        <f>precios_personalizacion!F28</f>
        <v>1360</v>
      </c>
      <c r="H25" s="78">
        <f>IF(AND(ISNUMBER(precios_base!E285),ISNUMBER(precios_personalizacion!F28)),precios_base!E285+precios_personalizacion!F28,"consultar")</f>
        <v>7050</v>
      </c>
      <c r="I25" s="77" t="str">
        <f>precios_base!E286</f>
        <v/>
      </c>
      <c r="J25" s="77">
        <f>precios_personalizacion!G28</f>
        <v>980</v>
      </c>
      <c r="K25" s="78" t="str">
        <f>IF(AND(ISNUMBER(precios_base!E286),ISNUMBER(precios_personalizacion!G28)),precios_base!E286+precios_personalizacion!G28,"consultar")</f>
        <v>consultar</v>
      </c>
      <c r="L25" s="77" t="str">
        <f>precios_base!E287</f>
        <v/>
      </c>
      <c r="M25" s="77">
        <f>precios_personalizacion!H28</f>
        <v>900</v>
      </c>
      <c r="N25" s="78" t="str">
        <f>IF(AND(ISNUMBER(precios_base!E287),ISNUMBER(precios_personalizacion!H28)),precios_base!E287+precios_personalizacion!H28,"consultar")</f>
        <v>consultar</v>
      </c>
      <c r="O25" s="77" t="str">
        <f>precios_base!E288</f>
        <v/>
      </c>
      <c r="P25" s="77">
        <f>precios_personalizacion!I28</f>
        <v>800</v>
      </c>
      <c r="Q25" s="78" t="str">
        <f>IF(AND(ISNUMBER(precios_base!E288),ISNUMBER(precios_personalizacion!I28)),precios_base!E288+precios_personalizacion!I28,"consultar")</f>
        <v>consultar</v>
      </c>
    </row>
    <row r="26" ht="15.75" customHeight="1">
      <c r="A26" s="35" t="s">
        <v>93</v>
      </c>
      <c r="B26" s="79"/>
      <c r="C26" s="35" t="s">
        <v>115</v>
      </c>
      <c r="D26" s="35" t="s">
        <v>109</v>
      </c>
      <c r="E26" s="35" t="s">
        <v>110</v>
      </c>
      <c r="F26" s="80">
        <f>precios_base!E285</f>
        <v>5690</v>
      </c>
      <c r="G26" s="80">
        <f>precios_personalizacion!F29</f>
        <v>1000</v>
      </c>
      <c r="H26" s="78">
        <f>IF(AND(ISNUMBER(precios_base!E285),ISNUMBER(precios_personalizacion!F29)),precios_base!E285+precios_personalizacion!F29,"consultar")</f>
        <v>6690</v>
      </c>
      <c r="I26" s="80" t="str">
        <f>precios_base!E286</f>
        <v/>
      </c>
      <c r="J26" s="80">
        <f>precios_personalizacion!G29</f>
        <v>900</v>
      </c>
      <c r="K26" s="78" t="str">
        <f>IF(AND(ISNUMBER(precios_base!E286),ISNUMBER(precios_personalizacion!G29)),precios_base!E286+precios_personalizacion!G29,"consultar")</f>
        <v>consultar</v>
      </c>
      <c r="L26" s="80" t="str">
        <f>precios_base!E287</f>
        <v/>
      </c>
      <c r="M26" s="80">
        <f>precios_personalizacion!H29</f>
        <v>800</v>
      </c>
      <c r="N26" s="78" t="str">
        <f>IF(AND(ISNUMBER(precios_base!E287),ISNUMBER(precios_personalizacion!H29)),precios_base!E287+precios_personalizacion!H29,"consultar")</f>
        <v>consultar</v>
      </c>
      <c r="O26" s="80" t="str">
        <f>precios_base!E288</f>
        <v/>
      </c>
      <c r="P26" s="80">
        <f>precios_personalizacion!I29</f>
        <v>750</v>
      </c>
      <c r="Q26" s="78" t="str">
        <f>IF(AND(ISNUMBER(precios_base!E288),ISNUMBER(precios_personalizacion!I29)),precios_base!E288+precios_personalizacion!I29,"consultar")</f>
        <v>consultar</v>
      </c>
    </row>
    <row r="27" ht="15.75" customHeight="1">
      <c r="A27" s="42" t="s">
        <v>93</v>
      </c>
      <c r="B27" s="81"/>
      <c r="C27" s="42" t="s">
        <v>119</v>
      </c>
      <c r="D27" s="42" t="s">
        <v>109</v>
      </c>
      <c r="E27" s="42"/>
      <c r="F27" s="82">
        <f>precios_base!E285</f>
        <v>5690</v>
      </c>
      <c r="G27" s="83"/>
      <c r="H27" s="84" t="str">
        <f t="shared" ref="H27:H42" si="1">"consultar"</f>
        <v>consultar</v>
      </c>
      <c r="I27" s="82" t="str">
        <f>precios_base!E286</f>
        <v/>
      </c>
      <c r="J27" s="83"/>
      <c r="K27" s="84" t="str">
        <f t="shared" ref="K27:K42" si="2">"consultar"</f>
        <v>consultar</v>
      </c>
      <c r="L27" s="82" t="str">
        <f>precios_base!E287</f>
        <v/>
      </c>
      <c r="M27" s="83"/>
      <c r="N27" s="84" t="str">
        <f t="shared" ref="N27:N42" si="3">"consultar"</f>
        <v>consultar</v>
      </c>
      <c r="O27" s="82" t="str">
        <f>precios_base!E288</f>
        <v/>
      </c>
      <c r="P27" s="83"/>
      <c r="Q27" s="84" t="str">
        <f t="shared" ref="Q27:Q42" si="4">"consultar"</f>
        <v>consultar</v>
      </c>
    </row>
    <row r="28" ht="15.75" customHeight="1">
      <c r="A28" s="29" t="s">
        <v>121</v>
      </c>
      <c r="B28" s="76"/>
      <c r="C28" s="31" t="s">
        <v>108</v>
      </c>
      <c r="D28" s="31" t="s">
        <v>109</v>
      </c>
      <c r="E28" s="31" t="s">
        <v>110</v>
      </c>
      <c r="F28" s="83"/>
      <c r="G28" s="77">
        <f>precios_personalizacion!F31</f>
        <v>960</v>
      </c>
      <c r="H28" s="84" t="str">
        <f t="shared" si="1"/>
        <v>consultar</v>
      </c>
      <c r="I28" s="83"/>
      <c r="J28" s="77">
        <f>precios_personalizacion!G31</f>
        <v>850</v>
      </c>
      <c r="K28" s="84" t="str">
        <f t="shared" si="2"/>
        <v>consultar</v>
      </c>
      <c r="L28" s="83"/>
      <c r="M28" s="77">
        <f>precios_personalizacion!H31</f>
        <v>750</v>
      </c>
      <c r="N28" s="84" t="str">
        <f t="shared" si="3"/>
        <v>consultar</v>
      </c>
      <c r="O28" s="83"/>
      <c r="P28" s="77">
        <f>precios_personalizacion!I31</f>
        <v>700</v>
      </c>
      <c r="Q28" s="84" t="str">
        <f t="shared" si="4"/>
        <v>consultar</v>
      </c>
    </row>
    <row r="29" ht="15.75" customHeight="1">
      <c r="A29" s="31" t="s">
        <v>121</v>
      </c>
      <c r="B29" s="76"/>
      <c r="C29" s="31" t="s">
        <v>108</v>
      </c>
      <c r="D29" s="31" t="s">
        <v>109</v>
      </c>
      <c r="E29" s="31" t="s">
        <v>111</v>
      </c>
      <c r="F29" s="83"/>
      <c r="G29" s="77">
        <f>precios_personalizacion!F32</f>
        <v>1400</v>
      </c>
      <c r="H29" s="84" t="str">
        <f t="shared" si="1"/>
        <v>consultar</v>
      </c>
      <c r="I29" s="83"/>
      <c r="J29" s="77">
        <f>precios_personalizacion!G32</f>
        <v>1360</v>
      </c>
      <c r="K29" s="84" t="str">
        <f t="shared" si="2"/>
        <v>consultar</v>
      </c>
      <c r="L29" s="83"/>
      <c r="M29" s="77">
        <f>precios_personalizacion!H32</f>
        <v>1200</v>
      </c>
      <c r="N29" s="84" t="str">
        <f t="shared" si="3"/>
        <v>consultar</v>
      </c>
      <c r="O29" s="83"/>
      <c r="P29" s="77">
        <f>precios_personalizacion!I32</f>
        <v>1100</v>
      </c>
      <c r="Q29" s="84" t="str">
        <f t="shared" si="4"/>
        <v>consultar</v>
      </c>
    </row>
    <row r="30" ht="15.75" customHeight="1">
      <c r="A30" s="31" t="s">
        <v>121</v>
      </c>
      <c r="B30" s="76"/>
      <c r="C30" s="31" t="s">
        <v>108</v>
      </c>
      <c r="D30" s="31" t="s">
        <v>109</v>
      </c>
      <c r="E30" s="31" t="s">
        <v>122</v>
      </c>
      <c r="F30" s="83"/>
      <c r="G30" s="77">
        <f>precios_personalizacion!F33</f>
        <v>3600</v>
      </c>
      <c r="H30" s="84" t="str">
        <f t="shared" si="1"/>
        <v>consultar</v>
      </c>
      <c r="I30" s="83"/>
      <c r="J30" s="77">
        <f>precios_personalizacion!G33</f>
        <v>3200</v>
      </c>
      <c r="K30" s="84" t="str">
        <f t="shared" si="2"/>
        <v>consultar</v>
      </c>
      <c r="L30" s="83"/>
      <c r="M30" s="77">
        <f>precios_personalizacion!H33</f>
        <v>2900</v>
      </c>
      <c r="N30" s="84" t="str">
        <f t="shared" si="3"/>
        <v>consultar</v>
      </c>
      <c r="O30" s="83"/>
      <c r="P30" s="77">
        <f>precios_personalizacion!I33</f>
        <v>2800</v>
      </c>
      <c r="Q30" s="84" t="str">
        <f t="shared" si="4"/>
        <v>consultar</v>
      </c>
    </row>
    <row r="31" ht="15.75" customHeight="1">
      <c r="A31" s="31" t="s">
        <v>121</v>
      </c>
      <c r="B31" s="76"/>
      <c r="C31" s="31" t="s">
        <v>108</v>
      </c>
      <c r="D31" s="31" t="s">
        <v>118</v>
      </c>
      <c r="E31" s="31" t="s">
        <v>112</v>
      </c>
      <c r="F31" s="83"/>
      <c r="G31" s="77">
        <f>precios_personalizacion!F34</f>
        <v>2800</v>
      </c>
      <c r="H31" s="84" t="str">
        <f t="shared" si="1"/>
        <v>consultar</v>
      </c>
      <c r="I31" s="83"/>
      <c r="J31" s="77">
        <f>precios_personalizacion!G34</f>
        <v>2800</v>
      </c>
      <c r="K31" s="84" t="str">
        <f t="shared" si="2"/>
        <v>consultar</v>
      </c>
      <c r="L31" s="83"/>
      <c r="M31" s="77">
        <f>precios_personalizacion!H34</f>
        <v>2500</v>
      </c>
      <c r="N31" s="84" t="str">
        <f t="shared" si="3"/>
        <v>consultar</v>
      </c>
      <c r="O31" s="83"/>
      <c r="P31" s="77">
        <f>precios_personalizacion!I34</f>
        <v>2300</v>
      </c>
      <c r="Q31" s="84" t="str">
        <f t="shared" si="4"/>
        <v>consultar</v>
      </c>
    </row>
    <row r="32" ht="15.75" customHeight="1">
      <c r="A32" s="31" t="s">
        <v>121</v>
      </c>
      <c r="B32" s="76"/>
      <c r="C32" s="31" t="s">
        <v>108</v>
      </c>
      <c r="D32" s="31" t="s">
        <v>114</v>
      </c>
      <c r="E32" s="31" t="s">
        <v>112</v>
      </c>
      <c r="F32" s="83"/>
      <c r="G32" s="77">
        <f>precios_personalizacion!F35</f>
        <v>3100</v>
      </c>
      <c r="H32" s="84" t="str">
        <f t="shared" si="1"/>
        <v>consultar</v>
      </c>
      <c r="I32" s="83"/>
      <c r="J32" s="77">
        <f>precios_personalizacion!G35</f>
        <v>3500</v>
      </c>
      <c r="K32" s="84" t="str">
        <f t="shared" si="2"/>
        <v>consultar</v>
      </c>
      <c r="L32" s="83"/>
      <c r="M32" s="77">
        <f>precios_personalizacion!H35</f>
        <v>3500</v>
      </c>
      <c r="N32" s="84" t="str">
        <f t="shared" si="3"/>
        <v>consultar</v>
      </c>
      <c r="O32" s="83"/>
      <c r="P32" s="77">
        <f>precios_personalizacion!I35</f>
        <v>3200</v>
      </c>
      <c r="Q32" s="84" t="str">
        <f t="shared" si="4"/>
        <v>consultar</v>
      </c>
    </row>
    <row r="33" ht="15.75" customHeight="1">
      <c r="A33" s="35" t="s">
        <v>121</v>
      </c>
      <c r="B33" s="79"/>
      <c r="C33" s="35" t="s">
        <v>115</v>
      </c>
      <c r="D33" s="35" t="s">
        <v>109</v>
      </c>
      <c r="E33" s="35" t="s">
        <v>110</v>
      </c>
      <c r="F33" s="83"/>
      <c r="G33" s="80">
        <f>precios_personalizacion!F36</f>
        <v>1200</v>
      </c>
      <c r="H33" s="84" t="str">
        <f t="shared" si="1"/>
        <v>consultar</v>
      </c>
      <c r="I33" s="83"/>
      <c r="J33" s="80">
        <f>precios_personalizacion!G36</f>
        <v>1100</v>
      </c>
      <c r="K33" s="84" t="str">
        <f t="shared" si="2"/>
        <v>consultar</v>
      </c>
      <c r="L33" s="83"/>
      <c r="M33" s="80">
        <f>precios_personalizacion!H36</f>
        <v>900</v>
      </c>
      <c r="N33" s="84" t="str">
        <f t="shared" si="3"/>
        <v>consultar</v>
      </c>
      <c r="O33" s="83"/>
      <c r="P33" s="80">
        <f>precios_personalizacion!I36</f>
        <v>800</v>
      </c>
      <c r="Q33" s="84" t="str">
        <f t="shared" si="4"/>
        <v>consultar</v>
      </c>
    </row>
    <row r="34" ht="15.75" customHeight="1">
      <c r="A34" s="35" t="s">
        <v>121</v>
      </c>
      <c r="B34" s="79"/>
      <c r="C34" s="35" t="s">
        <v>115</v>
      </c>
      <c r="D34" s="35" t="s">
        <v>109</v>
      </c>
      <c r="E34" s="35" t="s">
        <v>116</v>
      </c>
      <c r="F34" s="83"/>
      <c r="G34" s="80">
        <f>precios_personalizacion!F38</f>
        <v>1200</v>
      </c>
      <c r="H34" s="84" t="str">
        <f t="shared" si="1"/>
        <v>consultar</v>
      </c>
      <c r="I34" s="83"/>
      <c r="J34" s="80">
        <f>precios_personalizacion!G38</f>
        <v>1100</v>
      </c>
      <c r="K34" s="84" t="str">
        <f t="shared" si="2"/>
        <v>consultar</v>
      </c>
      <c r="L34" s="83"/>
      <c r="M34" s="80">
        <f>precios_personalizacion!H38</f>
        <v>900</v>
      </c>
      <c r="N34" s="84" t="str">
        <f t="shared" si="3"/>
        <v>consultar</v>
      </c>
      <c r="O34" s="83"/>
      <c r="P34" s="80">
        <f>precios_personalizacion!I38</f>
        <v>800</v>
      </c>
      <c r="Q34" s="84" t="str">
        <f t="shared" si="4"/>
        <v>consultar</v>
      </c>
    </row>
    <row r="35" ht="15.75" customHeight="1">
      <c r="A35" s="35" t="s">
        <v>121</v>
      </c>
      <c r="B35" s="79"/>
      <c r="C35" s="35" t="s">
        <v>115</v>
      </c>
      <c r="D35" s="35" t="s">
        <v>113</v>
      </c>
      <c r="E35" s="35" t="s">
        <v>116</v>
      </c>
      <c r="F35" s="83"/>
      <c r="G35" s="80">
        <f>precios_personalizacion!F39</f>
        <v>1500</v>
      </c>
      <c r="H35" s="84" t="str">
        <f t="shared" si="1"/>
        <v>consultar</v>
      </c>
      <c r="I35" s="83"/>
      <c r="J35" s="80">
        <f>precios_personalizacion!G39</f>
        <v>1900</v>
      </c>
      <c r="K35" s="84" t="str">
        <f t="shared" si="2"/>
        <v>consultar</v>
      </c>
      <c r="L35" s="83"/>
      <c r="M35" s="80">
        <f>precios_personalizacion!H39</f>
        <v>1700</v>
      </c>
      <c r="N35" s="84" t="str">
        <f t="shared" si="3"/>
        <v>consultar</v>
      </c>
      <c r="O35" s="83"/>
      <c r="P35" s="80">
        <f>precios_personalizacion!I39</f>
        <v>1500</v>
      </c>
      <c r="Q35" s="84" t="str">
        <f t="shared" si="4"/>
        <v>consultar</v>
      </c>
    </row>
    <row r="36" ht="15.75" customHeight="1">
      <c r="A36" s="29" t="s">
        <v>123</v>
      </c>
      <c r="B36" s="76"/>
      <c r="C36" s="31" t="s">
        <v>108</v>
      </c>
      <c r="D36" s="31" t="s">
        <v>109</v>
      </c>
      <c r="E36" s="31" t="s">
        <v>110</v>
      </c>
      <c r="F36" s="83"/>
      <c r="G36" s="77">
        <f>precios_personalizacion!F47</f>
        <v>1500</v>
      </c>
      <c r="H36" s="84" t="str">
        <f t="shared" si="1"/>
        <v>consultar</v>
      </c>
      <c r="I36" s="83"/>
      <c r="J36" s="77">
        <f>precios_personalizacion!G47</f>
        <v>1100</v>
      </c>
      <c r="K36" s="84" t="str">
        <f t="shared" si="2"/>
        <v>consultar</v>
      </c>
      <c r="L36" s="83"/>
      <c r="M36" s="77">
        <f>precios_personalizacion!H47</f>
        <v>1050</v>
      </c>
      <c r="N36" s="84" t="str">
        <f t="shared" si="3"/>
        <v>consultar</v>
      </c>
      <c r="O36" s="83"/>
      <c r="P36" s="77">
        <f>precios_personalizacion!I47</f>
        <v>1000</v>
      </c>
      <c r="Q36" s="84" t="str">
        <f t="shared" si="4"/>
        <v>consultar</v>
      </c>
    </row>
    <row r="37" ht="15.75" customHeight="1">
      <c r="A37" s="31" t="s">
        <v>123</v>
      </c>
      <c r="B37" s="76"/>
      <c r="C37" s="31" t="s">
        <v>108</v>
      </c>
      <c r="D37" s="31" t="s">
        <v>109</v>
      </c>
      <c r="E37" s="31" t="s">
        <v>111</v>
      </c>
      <c r="F37" s="83"/>
      <c r="G37" s="77">
        <f>precios_personalizacion!F41</f>
        <v>1400</v>
      </c>
      <c r="H37" s="84" t="str">
        <f t="shared" si="1"/>
        <v>consultar</v>
      </c>
      <c r="I37" s="83"/>
      <c r="J37" s="77">
        <f>precios_personalizacion!G41</f>
        <v>1200</v>
      </c>
      <c r="K37" s="84" t="str">
        <f t="shared" si="2"/>
        <v>consultar</v>
      </c>
      <c r="L37" s="83"/>
      <c r="M37" s="77" t="str">
        <f>precios_personalizacion!H41</f>
        <v/>
      </c>
      <c r="N37" s="84" t="str">
        <f t="shared" si="3"/>
        <v>consultar</v>
      </c>
      <c r="O37" s="83"/>
      <c r="P37" s="77" t="str">
        <f>precios_personalizacion!I41</f>
        <v/>
      </c>
      <c r="Q37" s="84" t="str">
        <f t="shared" si="4"/>
        <v>consultar</v>
      </c>
    </row>
    <row r="38" ht="15.75" customHeight="1">
      <c r="A38" s="31" t="s">
        <v>123</v>
      </c>
      <c r="B38" s="76"/>
      <c r="C38" s="31" t="s">
        <v>108</v>
      </c>
      <c r="D38" s="31" t="s">
        <v>120</v>
      </c>
      <c r="E38" s="31" t="s">
        <v>110</v>
      </c>
      <c r="F38" s="83"/>
      <c r="G38" s="77">
        <f>precios_personalizacion!F48</f>
        <v>1800</v>
      </c>
      <c r="H38" s="84" t="str">
        <f t="shared" si="1"/>
        <v>consultar</v>
      </c>
      <c r="I38" s="83"/>
      <c r="J38" s="77">
        <f>precios_personalizacion!G48</f>
        <v>1700</v>
      </c>
      <c r="K38" s="84" t="str">
        <f t="shared" si="2"/>
        <v>consultar</v>
      </c>
      <c r="L38" s="83"/>
      <c r="M38" s="77">
        <f>precios_personalizacion!H48</f>
        <v>1500</v>
      </c>
      <c r="N38" s="84" t="str">
        <f t="shared" si="3"/>
        <v>consultar</v>
      </c>
      <c r="O38" s="83"/>
      <c r="P38" s="77">
        <f>precios_personalizacion!I48</f>
        <v>1400</v>
      </c>
      <c r="Q38" s="84" t="str">
        <f t="shared" si="4"/>
        <v>consultar</v>
      </c>
    </row>
    <row r="39" ht="15.75" customHeight="1">
      <c r="A39" s="31" t="s">
        <v>123</v>
      </c>
      <c r="B39" s="76"/>
      <c r="C39" s="31" t="s">
        <v>108</v>
      </c>
      <c r="D39" s="31" t="s">
        <v>124</v>
      </c>
      <c r="E39" s="31" t="s">
        <v>116</v>
      </c>
      <c r="F39" s="83"/>
      <c r="G39" s="77">
        <f>precios_personalizacion!F44</f>
        <v>3600</v>
      </c>
      <c r="H39" s="84" t="str">
        <f t="shared" si="1"/>
        <v>consultar</v>
      </c>
      <c r="I39" s="83"/>
      <c r="J39" s="77">
        <f>precios_personalizacion!G44</f>
        <v>3000</v>
      </c>
      <c r="K39" s="84" t="str">
        <f t="shared" si="2"/>
        <v>consultar</v>
      </c>
      <c r="L39" s="83"/>
      <c r="M39" s="77">
        <f>precios_personalizacion!H44</f>
        <v>2800</v>
      </c>
      <c r="N39" s="84" t="str">
        <f t="shared" si="3"/>
        <v>consultar</v>
      </c>
      <c r="O39" s="83"/>
      <c r="P39" s="77">
        <f>precios_personalizacion!I44</f>
        <v>2600</v>
      </c>
      <c r="Q39" s="84" t="str">
        <f t="shared" si="4"/>
        <v>consultar</v>
      </c>
    </row>
    <row r="40" ht="15.75" customHeight="1">
      <c r="A40" s="47" t="s">
        <v>123</v>
      </c>
      <c r="B40" s="85"/>
      <c r="C40" s="47" t="s">
        <v>127</v>
      </c>
      <c r="D40" s="47" t="s">
        <v>109</v>
      </c>
      <c r="E40" s="47" t="s">
        <v>128</v>
      </c>
      <c r="F40" s="83"/>
      <c r="G40" s="86">
        <f>precios_personalizacion!F49</f>
        <v>1200</v>
      </c>
      <c r="H40" s="84" t="str">
        <f t="shared" si="1"/>
        <v>consultar</v>
      </c>
      <c r="I40" s="83"/>
      <c r="J40" s="86">
        <f>precios_personalizacion!G49</f>
        <v>1100</v>
      </c>
      <c r="K40" s="84" t="str">
        <f t="shared" si="2"/>
        <v>consultar</v>
      </c>
      <c r="L40" s="83"/>
      <c r="M40" s="86">
        <f>precios_personalizacion!H49</f>
        <v>1000</v>
      </c>
      <c r="N40" s="84" t="str">
        <f t="shared" si="3"/>
        <v>consultar</v>
      </c>
      <c r="O40" s="83"/>
      <c r="P40" s="86">
        <f>precios_personalizacion!I49</f>
        <v>900</v>
      </c>
      <c r="Q40" s="84" t="str">
        <f t="shared" si="4"/>
        <v>consultar</v>
      </c>
    </row>
    <row r="41" ht="15.75" customHeight="1">
      <c r="A41" s="31" t="s">
        <v>123</v>
      </c>
      <c r="B41" s="76" t="s">
        <v>125</v>
      </c>
      <c r="C41" s="31" t="s">
        <v>108</v>
      </c>
      <c r="D41" s="31" t="s">
        <v>109</v>
      </c>
      <c r="E41" s="31" t="s">
        <v>110</v>
      </c>
      <c r="F41" s="83"/>
      <c r="G41" s="77">
        <f>precios_personalizacion!F47</f>
        <v>1500</v>
      </c>
      <c r="H41" s="84" t="str">
        <f t="shared" si="1"/>
        <v>consultar</v>
      </c>
      <c r="I41" s="83"/>
      <c r="J41" s="77">
        <f>precios_personalizacion!G47</f>
        <v>1100</v>
      </c>
      <c r="K41" s="84" t="str">
        <f t="shared" si="2"/>
        <v>consultar</v>
      </c>
      <c r="L41" s="83"/>
      <c r="M41" s="77">
        <f>precios_personalizacion!H47</f>
        <v>1050</v>
      </c>
      <c r="N41" s="84" t="str">
        <f t="shared" si="3"/>
        <v>consultar</v>
      </c>
      <c r="O41" s="83"/>
      <c r="P41" s="77">
        <f>precios_personalizacion!I47</f>
        <v>1000</v>
      </c>
      <c r="Q41" s="84" t="str">
        <f t="shared" si="4"/>
        <v>consultar</v>
      </c>
    </row>
    <row r="42" ht="15.75" customHeight="1">
      <c r="A42" s="31" t="s">
        <v>123</v>
      </c>
      <c r="B42" s="76" t="s">
        <v>126</v>
      </c>
      <c r="C42" s="31" t="s">
        <v>108</v>
      </c>
      <c r="D42" s="31" t="s">
        <v>109</v>
      </c>
      <c r="E42" s="31" t="s">
        <v>110</v>
      </c>
      <c r="F42" s="83"/>
      <c r="G42" s="77">
        <f>precios_personalizacion!F47</f>
        <v>1500</v>
      </c>
      <c r="H42" s="84" t="str">
        <f t="shared" si="1"/>
        <v>consultar</v>
      </c>
      <c r="I42" s="83"/>
      <c r="J42" s="77">
        <f>precios_personalizacion!G47</f>
        <v>1100</v>
      </c>
      <c r="K42" s="84" t="str">
        <f t="shared" si="2"/>
        <v>consultar</v>
      </c>
      <c r="L42" s="83"/>
      <c r="M42" s="77">
        <f>precios_personalizacion!H47</f>
        <v>1050</v>
      </c>
      <c r="N42" s="84" t="str">
        <f t="shared" si="3"/>
        <v>consultar</v>
      </c>
      <c r="O42" s="83"/>
      <c r="P42" s="77">
        <f>precios_personalizacion!I47</f>
        <v>1000</v>
      </c>
      <c r="Q42" s="84" t="str">
        <f t="shared" si="4"/>
        <v>consultar</v>
      </c>
    </row>
    <row r="43" ht="15.75" customHeight="1">
      <c r="A43" s="52" t="s">
        <v>40</v>
      </c>
      <c r="B43" s="87"/>
      <c r="C43" s="54" t="s">
        <v>129</v>
      </c>
      <c r="D43" s="54" t="s">
        <v>109</v>
      </c>
      <c r="E43" s="54" t="s">
        <v>110</v>
      </c>
      <c r="F43" s="88" t="str">
        <f>precios_base!E124</f>
        <v/>
      </c>
      <c r="G43" s="88">
        <f>precios_personalizacion!F50</f>
        <v>1000</v>
      </c>
      <c r="H43" s="78" t="str">
        <f>IF(AND(ISNUMBER(precios_base!E124),ISNUMBER(precios_personalizacion!F50)),precios_base!E124+precios_personalizacion!F50,"consultar")</f>
        <v>consultar</v>
      </c>
      <c r="I43" s="88" t="str">
        <f>precios_base!E125</f>
        <v/>
      </c>
      <c r="J43" s="88">
        <f>precios_personalizacion!G50</f>
        <v>750</v>
      </c>
      <c r="K43" s="78" t="str">
        <f>IF(AND(ISNUMBER(precios_base!E125),ISNUMBER(precios_personalizacion!G50)),precios_base!E125+precios_personalizacion!G50,"consultar")</f>
        <v>consultar</v>
      </c>
      <c r="L43" s="88" t="str">
        <f>precios_base!E126</f>
        <v/>
      </c>
      <c r="M43" s="88">
        <f>precios_personalizacion!H50</f>
        <v>110</v>
      </c>
      <c r="N43" s="78" t="str">
        <f>IF(AND(ISNUMBER(precios_base!E126),ISNUMBER(precios_personalizacion!H50)),precios_base!E126+precios_personalizacion!H50,"consultar")</f>
        <v>consultar</v>
      </c>
      <c r="O43" s="88" t="str">
        <f>precios_base!E127</f>
        <v/>
      </c>
      <c r="P43" s="88">
        <f>precios_personalizacion!I50</f>
        <v>100</v>
      </c>
      <c r="Q43" s="78" t="str">
        <f>IF(AND(ISNUMBER(precios_base!E127),ISNUMBER(precios_personalizacion!I50)),precios_base!E127+precios_personalizacion!I50,"consultar")</f>
        <v>consultar</v>
      </c>
    </row>
    <row r="44" ht="15.75" customHeight="1">
      <c r="A44" s="58" t="s">
        <v>41</v>
      </c>
      <c r="B44" s="89"/>
      <c r="C44" s="60" t="s">
        <v>130</v>
      </c>
      <c r="D44" s="60" t="s">
        <v>109</v>
      </c>
      <c r="E44" s="60"/>
      <c r="F44" s="90" t="str">
        <f>precios_base!E128</f>
        <v/>
      </c>
      <c r="G44" s="83"/>
      <c r="H44" s="84" t="str">
        <f>"consultar"</f>
        <v>consultar</v>
      </c>
      <c r="I44" s="90" t="str">
        <f>precios_base!E129</f>
        <v/>
      </c>
      <c r="J44" s="83"/>
      <c r="K44" s="84" t="str">
        <f>"consultar"</f>
        <v>consultar</v>
      </c>
      <c r="L44" s="90" t="str">
        <f>precios_base!E130</f>
        <v/>
      </c>
      <c r="M44" s="83"/>
      <c r="N44" s="84" t="str">
        <f>"consultar"</f>
        <v>consultar</v>
      </c>
      <c r="O44" s="90" t="str">
        <f>precios_base!E131</f>
        <v/>
      </c>
      <c r="P44" s="83"/>
      <c r="Q44" s="84" t="str">
        <f>"consultar"</f>
        <v>consultar</v>
      </c>
    </row>
    <row r="45" ht="15.75" customHeight="1">
      <c r="A45" s="29" t="s">
        <v>131</v>
      </c>
      <c r="B45" s="76"/>
      <c r="C45" s="31" t="s">
        <v>108</v>
      </c>
      <c r="D45" s="31" t="s">
        <v>109</v>
      </c>
      <c r="E45" s="31" t="s">
        <v>110</v>
      </c>
      <c r="F45" s="77">
        <f>precios_base!E16</f>
        <v>13999</v>
      </c>
      <c r="G45" s="77" t="str">
        <f>precios_personalizacion!F52</f>
        <v/>
      </c>
      <c r="H45" s="78" t="str">
        <f>IF(AND(ISNUMBER(precios_base!E16),ISNUMBER(precios_personalizacion!F52)),precios_base!E16+precios_personalizacion!F52,"consultar")</f>
        <v>consultar</v>
      </c>
      <c r="I45" s="77">
        <f>precios_base!E17</f>
        <v>13999</v>
      </c>
      <c r="J45" s="77" t="str">
        <f>precios_personalizacion!G52</f>
        <v/>
      </c>
      <c r="K45" s="78" t="str">
        <f>IF(AND(ISNUMBER(precios_base!E17),ISNUMBER(precios_personalizacion!G52)),precios_base!E17+precios_personalizacion!G52,"consultar")</f>
        <v>consultar</v>
      </c>
      <c r="L45" s="77">
        <f>precios_base!E18</f>
        <v>12999</v>
      </c>
      <c r="M45" s="77" t="str">
        <f>precios_personalizacion!H52</f>
        <v/>
      </c>
      <c r="N45" s="78" t="str">
        <f>IF(AND(ISNUMBER(precios_base!E18),ISNUMBER(precios_personalizacion!H52)),precios_base!E18+precios_personalizacion!H52,"consultar")</f>
        <v>consultar</v>
      </c>
      <c r="O45" s="77">
        <f>precios_base!E19</f>
        <v>12999</v>
      </c>
      <c r="P45" s="77" t="str">
        <f>precios_personalizacion!I52</f>
        <v/>
      </c>
      <c r="Q45" s="78" t="str">
        <f>IF(AND(ISNUMBER(precios_base!E19),ISNUMBER(precios_personalizacion!I52)),precios_base!E19+precios_personalizacion!I52,"consultar")</f>
        <v>consultar</v>
      </c>
    </row>
    <row r="46" ht="15.75" customHeight="1">
      <c r="A46" s="31" t="s">
        <v>131</v>
      </c>
      <c r="B46" s="76"/>
      <c r="C46" s="31" t="s">
        <v>108</v>
      </c>
      <c r="D46" s="31" t="s">
        <v>109</v>
      </c>
      <c r="E46" s="31" t="s">
        <v>111</v>
      </c>
      <c r="F46" s="77">
        <f>precios_base!E16</f>
        <v>13999</v>
      </c>
      <c r="G46" s="77" t="str">
        <f>precios_personalizacion!F53</f>
        <v/>
      </c>
      <c r="H46" s="78" t="str">
        <f>IF(AND(ISNUMBER(precios_base!E16),ISNUMBER(precios_personalizacion!F53)),precios_base!E16+precios_personalizacion!F53,"consultar")</f>
        <v>consultar</v>
      </c>
      <c r="I46" s="77">
        <f>precios_base!E17</f>
        <v>13999</v>
      </c>
      <c r="J46" s="77" t="str">
        <f>precios_personalizacion!G53</f>
        <v/>
      </c>
      <c r="K46" s="78" t="str">
        <f>IF(AND(ISNUMBER(precios_base!E17),ISNUMBER(precios_personalizacion!G53)),precios_base!E17+precios_personalizacion!G53,"consultar")</f>
        <v>consultar</v>
      </c>
      <c r="L46" s="77">
        <f>precios_base!E18</f>
        <v>12999</v>
      </c>
      <c r="M46" s="77" t="str">
        <f>precios_personalizacion!H53</f>
        <v/>
      </c>
      <c r="N46" s="78" t="str">
        <f>IF(AND(ISNUMBER(precios_base!E18),ISNUMBER(precios_personalizacion!H53)),precios_base!E18+precios_personalizacion!H53,"consultar")</f>
        <v>consultar</v>
      </c>
      <c r="O46" s="77">
        <f>precios_base!E19</f>
        <v>12999</v>
      </c>
      <c r="P46" s="77" t="str">
        <f>precios_personalizacion!I53</f>
        <v/>
      </c>
      <c r="Q46" s="78" t="str">
        <f>IF(AND(ISNUMBER(precios_base!E19),ISNUMBER(precios_personalizacion!I53)),precios_base!E19+precios_personalizacion!I53,"consultar")</f>
        <v>consultar</v>
      </c>
    </row>
    <row r="47" ht="15.75" customHeight="1">
      <c r="A47" s="35" t="s">
        <v>131</v>
      </c>
      <c r="B47" s="79"/>
      <c r="C47" s="35" t="s">
        <v>115</v>
      </c>
      <c r="D47" s="35" t="s">
        <v>109</v>
      </c>
      <c r="E47" s="35" t="s">
        <v>116</v>
      </c>
      <c r="F47" s="80">
        <f>precios_base!E16</f>
        <v>13999</v>
      </c>
      <c r="G47" s="80" t="str">
        <f>precios_personalizacion!F54</f>
        <v/>
      </c>
      <c r="H47" s="78" t="str">
        <f>IF(AND(ISNUMBER(precios_base!E16),ISNUMBER(precios_personalizacion!F54)),precios_base!E16+precios_personalizacion!F54,"consultar")</f>
        <v>consultar</v>
      </c>
      <c r="I47" s="80">
        <f>precios_base!E17</f>
        <v>13999</v>
      </c>
      <c r="J47" s="80" t="str">
        <f>precios_personalizacion!G54</f>
        <v/>
      </c>
      <c r="K47" s="78" t="str">
        <f>IF(AND(ISNUMBER(precios_base!E17),ISNUMBER(precios_personalizacion!G54)),precios_base!E17+precios_personalizacion!G54,"consultar")</f>
        <v>consultar</v>
      </c>
      <c r="L47" s="80">
        <f>precios_base!E18</f>
        <v>12999</v>
      </c>
      <c r="M47" s="80" t="str">
        <f>precios_personalizacion!H54</f>
        <v/>
      </c>
      <c r="N47" s="78" t="str">
        <f>IF(AND(ISNUMBER(precios_base!E18),ISNUMBER(precios_personalizacion!H54)),precios_base!E18+precios_personalizacion!H54,"consultar")</f>
        <v>consultar</v>
      </c>
      <c r="O47" s="80">
        <f>precios_base!E19</f>
        <v>12999</v>
      </c>
      <c r="P47" s="80" t="str">
        <f>precios_personalizacion!I54</f>
        <v/>
      </c>
      <c r="Q47" s="78" t="str">
        <f>IF(AND(ISNUMBER(precios_base!E19),ISNUMBER(precios_personalizacion!I54)),precios_base!E19+precios_personalizacion!I54,"consultar")</f>
        <v>consultar</v>
      </c>
    </row>
    <row r="48" ht="15.75" customHeight="1">
      <c r="A48" s="42" t="s">
        <v>131</v>
      </c>
      <c r="B48" s="81"/>
      <c r="C48" s="42" t="s">
        <v>119</v>
      </c>
      <c r="D48" s="42" t="s">
        <v>109</v>
      </c>
      <c r="E48" s="42"/>
      <c r="F48" s="82">
        <f>precios_base!E16</f>
        <v>13999</v>
      </c>
      <c r="G48" s="82" t="str">
        <f>precios_personalizacion!F55</f>
        <v/>
      </c>
      <c r="H48" s="78" t="str">
        <f>IF(AND(ISNUMBER(precios_base!E16),ISNUMBER(precios_personalizacion!F55)),precios_base!E16+precios_personalizacion!F55,"consultar")</f>
        <v>consultar</v>
      </c>
      <c r="I48" s="82">
        <f>precios_base!E17</f>
        <v>13999</v>
      </c>
      <c r="J48" s="82" t="str">
        <f>precios_personalizacion!G55</f>
        <v/>
      </c>
      <c r="K48" s="78" t="str">
        <f>IF(AND(ISNUMBER(precios_base!E17),ISNUMBER(precios_personalizacion!G55)),precios_base!E17+precios_personalizacion!G55,"consultar")</f>
        <v>consultar</v>
      </c>
      <c r="L48" s="82">
        <f>precios_base!E18</f>
        <v>12999</v>
      </c>
      <c r="M48" s="82" t="str">
        <f>precios_personalizacion!H55</f>
        <v/>
      </c>
      <c r="N48" s="78" t="str">
        <f>IF(AND(ISNUMBER(precios_base!E18),ISNUMBER(precios_personalizacion!H55)),precios_base!E18+precios_personalizacion!H55,"consultar")</f>
        <v>consultar</v>
      </c>
      <c r="O48" s="82">
        <f>precios_base!E19</f>
        <v>12999</v>
      </c>
      <c r="P48" s="82" t="str">
        <f>precios_personalizacion!I55</f>
        <v/>
      </c>
      <c r="Q48" s="78" t="str">
        <f>IF(AND(ISNUMBER(precios_base!E19),ISNUMBER(precios_personalizacion!I55)),precios_base!E19+precios_personalizacion!I55,"consultar")</f>
        <v>consultar</v>
      </c>
    </row>
    <row r="49" ht="15.75" customHeight="1">
      <c r="A49" s="29" t="s">
        <v>14</v>
      </c>
      <c r="B49" s="76"/>
      <c r="C49" s="31" t="s">
        <v>108</v>
      </c>
      <c r="D49" s="31" t="s">
        <v>109</v>
      </c>
      <c r="E49" s="31" t="s">
        <v>110</v>
      </c>
      <c r="F49" s="77">
        <f>precios_base!E20</f>
        <v>19999</v>
      </c>
      <c r="G49" s="77" t="str">
        <f>precios_personalizacion!F56</f>
        <v/>
      </c>
      <c r="H49" s="78" t="str">
        <f>IF(AND(ISNUMBER(precios_base!E20),ISNUMBER(precios_personalizacion!F56)),precios_base!E20+precios_personalizacion!F56,"consultar")</f>
        <v>consultar</v>
      </c>
      <c r="I49" s="77">
        <f>precios_base!E21</f>
        <v>19999</v>
      </c>
      <c r="J49" s="77" t="str">
        <f>precios_personalizacion!G56</f>
        <v/>
      </c>
      <c r="K49" s="78" t="str">
        <f>IF(AND(ISNUMBER(precios_base!E21),ISNUMBER(precios_personalizacion!G56)),precios_base!E21+precios_personalizacion!G56,"consultar")</f>
        <v>consultar</v>
      </c>
      <c r="L49" s="77">
        <f>precios_base!E22</f>
        <v>18999</v>
      </c>
      <c r="M49" s="77" t="str">
        <f>precios_personalizacion!H56</f>
        <v/>
      </c>
      <c r="N49" s="78" t="str">
        <f>IF(AND(ISNUMBER(precios_base!E22),ISNUMBER(precios_personalizacion!H56)),precios_base!E22+precios_personalizacion!H56,"consultar")</f>
        <v>consultar</v>
      </c>
      <c r="O49" s="77">
        <f>precios_base!E23</f>
        <v>17999</v>
      </c>
      <c r="P49" s="77" t="str">
        <f>precios_personalizacion!I56</f>
        <v/>
      </c>
      <c r="Q49" s="78" t="str">
        <f>IF(AND(ISNUMBER(precios_base!E23),ISNUMBER(precios_personalizacion!I56)),precios_base!E23+precios_personalizacion!I56,"consultar")</f>
        <v>consultar</v>
      </c>
    </row>
    <row r="50" ht="15.75" customHeight="1">
      <c r="A50" s="35" t="s">
        <v>14</v>
      </c>
      <c r="B50" s="79"/>
      <c r="C50" s="35" t="s">
        <v>115</v>
      </c>
      <c r="D50" s="35" t="s">
        <v>109</v>
      </c>
      <c r="E50" s="35" t="s">
        <v>116</v>
      </c>
      <c r="F50" s="80">
        <f>precios_base!E20</f>
        <v>19999</v>
      </c>
      <c r="G50" s="80" t="str">
        <f>precios_personalizacion!F57</f>
        <v/>
      </c>
      <c r="H50" s="78" t="str">
        <f>IF(AND(ISNUMBER(precios_base!E20),ISNUMBER(precios_personalizacion!F57)),precios_base!E20+precios_personalizacion!F57,"consultar")</f>
        <v>consultar</v>
      </c>
      <c r="I50" s="80">
        <f>precios_base!E21</f>
        <v>19999</v>
      </c>
      <c r="J50" s="80" t="str">
        <f>precios_personalizacion!G57</f>
        <v/>
      </c>
      <c r="K50" s="78" t="str">
        <f>IF(AND(ISNUMBER(precios_base!E21),ISNUMBER(precios_personalizacion!G57)),precios_base!E21+precios_personalizacion!G57,"consultar")</f>
        <v>consultar</v>
      </c>
      <c r="L50" s="80">
        <f>precios_base!E22</f>
        <v>18999</v>
      </c>
      <c r="M50" s="80" t="str">
        <f>precios_personalizacion!H57</f>
        <v/>
      </c>
      <c r="N50" s="78" t="str">
        <f>IF(AND(ISNUMBER(precios_base!E22),ISNUMBER(precios_personalizacion!H57)),precios_base!E22+precios_personalizacion!H57,"consultar")</f>
        <v>consultar</v>
      </c>
      <c r="O50" s="80">
        <f>precios_base!E23</f>
        <v>17999</v>
      </c>
      <c r="P50" s="80" t="str">
        <f>precios_personalizacion!I57</f>
        <v/>
      </c>
      <c r="Q50" s="78" t="str">
        <f>IF(AND(ISNUMBER(precios_base!E23),ISNUMBER(precios_personalizacion!I57)),precios_base!E23+precios_personalizacion!I57,"consultar")</f>
        <v>consultar</v>
      </c>
    </row>
    <row r="51" ht="15.75" customHeight="1">
      <c r="A51" s="29" t="s">
        <v>32</v>
      </c>
      <c r="B51" s="76"/>
      <c r="C51" s="31" t="s">
        <v>108</v>
      </c>
      <c r="D51" s="31" t="s">
        <v>109</v>
      </c>
      <c r="E51" s="31" t="s">
        <v>110</v>
      </c>
      <c r="F51" s="77">
        <f>precios_base!E88</f>
        <v>14900</v>
      </c>
      <c r="G51" s="77" t="str">
        <f>precios_personalizacion!F58</f>
        <v/>
      </c>
      <c r="H51" s="78" t="str">
        <f>IF(AND(ISNUMBER(precios_base!E88),ISNUMBER(precios_personalizacion!F58)),precios_base!E88+precios_personalizacion!F58,"consultar")</f>
        <v>consultar</v>
      </c>
      <c r="I51" s="77">
        <f>precios_base!E89</f>
        <v>14900</v>
      </c>
      <c r="J51" s="77" t="str">
        <f>precios_personalizacion!G58</f>
        <v/>
      </c>
      <c r="K51" s="78" t="str">
        <f>IF(AND(ISNUMBER(precios_base!E89),ISNUMBER(precios_personalizacion!G58)),precios_base!E89+precios_personalizacion!G58,"consultar")</f>
        <v>consultar</v>
      </c>
      <c r="L51" s="77">
        <f>precios_base!E90</f>
        <v>14900</v>
      </c>
      <c r="M51" s="77" t="str">
        <f>precios_personalizacion!H58</f>
        <v/>
      </c>
      <c r="N51" s="78" t="str">
        <f>IF(AND(ISNUMBER(precios_base!E90),ISNUMBER(precios_personalizacion!H58)),precios_base!E90+precios_personalizacion!H58,"consultar")</f>
        <v>consultar</v>
      </c>
      <c r="O51" s="77">
        <f>precios_base!E91</f>
        <v>14900</v>
      </c>
      <c r="P51" s="77" t="str">
        <f>precios_personalizacion!I58</f>
        <v/>
      </c>
      <c r="Q51" s="78" t="str">
        <f>IF(AND(ISNUMBER(precios_base!E91),ISNUMBER(precios_personalizacion!I58)),precios_base!E91+precios_personalizacion!I58,"consultar")</f>
        <v>consultar</v>
      </c>
    </row>
    <row r="52" ht="15.75" customHeight="1">
      <c r="A52" s="29" t="s">
        <v>23</v>
      </c>
      <c r="B52" s="76"/>
      <c r="C52" s="31" t="s">
        <v>108</v>
      </c>
      <c r="D52" s="31" t="s">
        <v>109</v>
      </c>
      <c r="E52" s="31" t="s">
        <v>110</v>
      </c>
      <c r="F52" s="77">
        <f>precios_base!E52</f>
        <v>12900</v>
      </c>
      <c r="G52" s="77" t="str">
        <f>precios_personalizacion!F62</f>
        <v/>
      </c>
      <c r="H52" s="78" t="str">
        <f>IF(AND(ISNUMBER(precios_base!E52),ISNUMBER(precios_personalizacion!F62)),precios_base!E52+precios_personalizacion!F62,"consultar")</f>
        <v>consultar</v>
      </c>
      <c r="I52" s="77">
        <f>precios_base!E53</f>
        <v>11900</v>
      </c>
      <c r="J52" s="77" t="str">
        <f>precios_personalizacion!G62</f>
        <v/>
      </c>
      <c r="K52" s="78" t="str">
        <f>IF(AND(ISNUMBER(precios_base!E53),ISNUMBER(precios_personalizacion!G62)),precios_base!E53+precios_personalizacion!G62,"consultar")</f>
        <v>consultar</v>
      </c>
      <c r="L52" s="77">
        <f>precios_base!E54</f>
        <v>11900</v>
      </c>
      <c r="M52" s="77" t="str">
        <f>precios_personalizacion!H62</f>
        <v/>
      </c>
      <c r="N52" s="78" t="str">
        <f>IF(AND(ISNUMBER(precios_base!E54),ISNUMBER(precios_personalizacion!H62)),precios_base!E54+precios_personalizacion!H62,"consultar")</f>
        <v>consultar</v>
      </c>
      <c r="O52" s="77">
        <f>precios_base!E55</f>
        <v>10900</v>
      </c>
      <c r="P52" s="77" t="str">
        <f>precios_personalizacion!I62</f>
        <v/>
      </c>
      <c r="Q52" s="78" t="str">
        <f>IF(AND(ISNUMBER(precios_base!E55),ISNUMBER(precios_personalizacion!I62)),precios_base!E55+precios_personalizacion!I62,"consultar")</f>
        <v>consultar</v>
      </c>
    </row>
    <row r="53" ht="15.75" customHeight="1">
      <c r="A53" s="35" t="s">
        <v>23</v>
      </c>
      <c r="B53" s="79"/>
      <c r="C53" s="35" t="s">
        <v>115</v>
      </c>
      <c r="D53" s="35" t="s">
        <v>109</v>
      </c>
      <c r="E53" s="35" t="s">
        <v>116</v>
      </c>
      <c r="F53" s="80">
        <f>precios_base!E52</f>
        <v>12900</v>
      </c>
      <c r="G53" s="80" t="str">
        <f>precios_personalizacion!F63</f>
        <v/>
      </c>
      <c r="H53" s="78" t="str">
        <f>IF(AND(ISNUMBER(precios_base!E52),ISNUMBER(precios_personalizacion!F63)),precios_base!E52+precios_personalizacion!F63,"consultar")</f>
        <v>consultar</v>
      </c>
      <c r="I53" s="80">
        <f>precios_base!E53</f>
        <v>11900</v>
      </c>
      <c r="J53" s="80" t="str">
        <f>precios_personalizacion!G63</f>
        <v/>
      </c>
      <c r="K53" s="78" t="str">
        <f>IF(AND(ISNUMBER(precios_base!E53),ISNUMBER(precios_personalizacion!G63)),precios_base!E53+precios_personalizacion!G63,"consultar")</f>
        <v>consultar</v>
      </c>
      <c r="L53" s="80">
        <f>precios_base!E54</f>
        <v>11900</v>
      </c>
      <c r="M53" s="80" t="str">
        <f>precios_personalizacion!H63</f>
        <v/>
      </c>
      <c r="N53" s="78" t="str">
        <f>IF(AND(ISNUMBER(precios_base!E54),ISNUMBER(precios_personalizacion!H63)),precios_base!E54+precios_personalizacion!H63,"consultar")</f>
        <v>consultar</v>
      </c>
      <c r="O53" s="80">
        <f>precios_base!E55</f>
        <v>10900</v>
      </c>
      <c r="P53" s="80" t="str">
        <f>precios_personalizacion!I63</f>
        <v/>
      </c>
      <c r="Q53" s="78" t="str">
        <f>IF(AND(ISNUMBER(precios_base!E55),ISNUMBER(precios_personalizacion!I63)),precios_base!E55+precios_personalizacion!I63,"consultar")</f>
        <v>consultar</v>
      </c>
    </row>
    <row r="54" ht="15.75" customHeight="1">
      <c r="A54" s="29" t="s">
        <v>24</v>
      </c>
      <c r="B54" s="76"/>
      <c r="C54" s="31" t="s">
        <v>108</v>
      </c>
      <c r="D54" s="31" t="s">
        <v>109</v>
      </c>
      <c r="E54" s="31" t="s">
        <v>110</v>
      </c>
      <c r="F54" s="77">
        <f>precios_base!E56</f>
        <v>13900</v>
      </c>
      <c r="G54" s="83"/>
      <c r="H54" s="84" t="str">
        <f t="shared" ref="H54:H57" si="5">"consultar"</f>
        <v>consultar</v>
      </c>
      <c r="I54" s="77">
        <f>precios_base!E57</f>
        <v>13900</v>
      </c>
      <c r="J54" s="83"/>
      <c r="K54" s="84" t="str">
        <f t="shared" ref="K54:K57" si="6">"consultar"</f>
        <v>consultar</v>
      </c>
      <c r="L54" s="77">
        <f>precios_base!E58</f>
        <v>12990</v>
      </c>
      <c r="M54" s="83"/>
      <c r="N54" s="84" t="str">
        <f t="shared" ref="N54:N57" si="7">"consultar"</f>
        <v>consultar</v>
      </c>
      <c r="O54" s="77">
        <f>precios_base!E59</f>
        <v>12990</v>
      </c>
      <c r="P54" s="83"/>
      <c r="Q54" s="84" t="str">
        <f t="shared" ref="Q54:Q57" si="8">"consultar"</f>
        <v>consultar</v>
      </c>
    </row>
    <row r="55" ht="15.75" customHeight="1">
      <c r="A55" s="29" t="s">
        <v>25</v>
      </c>
      <c r="B55" s="76"/>
      <c r="C55" s="31" t="s">
        <v>108</v>
      </c>
      <c r="D55" s="31" t="s">
        <v>109</v>
      </c>
      <c r="E55" s="31" t="s">
        <v>110</v>
      </c>
      <c r="F55" s="77">
        <f>precios_base!E60</f>
        <v>10900</v>
      </c>
      <c r="G55" s="83"/>
      <c r="H55" s="84" t="str">
        <f t="shared" si="5"/>
        <v>consultar</v>
      </c>
      <c r="I55" s="77">
        <f>precios_base!E61</f>
        <v>9900</v>
      </c>
      <c r="J55" s="83"/>
      <c r="K55" s="84" t="str">
        <f t="shared" si="6"/>
        <v>consultar</v>
      </c>
      <c r="L55" s="77">
        <f>precios_base!E62</f>
        <v>9900</v>
      </c>
      <c r="M55" s="83"/>
      <c r="N55" s="84" t="str">
        <f t="shared" si="7"/>
        <v>consultar</v>
      </c>
      <c r="O55" s="77">
        <f>precios_base!E63</f>
        <v>9900</v>
      </c>
      <c r="P55" s="83"/>
      <c r="Q55" s="84" t="str">
        <f t="shared" si="8"/>
        <v>consultar</v>
      </c>
    </row>
    <row r="56" ht="15.75" customHeight="1">
      <c r="A56" s="29" t="s">
        <v>170</v>
      </c>
      <c r="B56" s="76"/>
      <c r="C56" s="31" t="s">
        <v>108</v>
      </c>
      <c r="D56" s="31" t="s">
        <v>109</v>
      </c>
      <c r="E56" s="31" t="s">
        <v>110</v>
      </c>
      <c r="F56" s="77">
        <f>precios_base!E68</f>
        <v>27990</v>
      </c>
      <c r="G56" s="83"/>
      <c r="H56" s="84" t="str">
        <f t="shared" si="5"/>
        <v>consultar</v>
      </c>
      <c r="I56" s="77">
        <f>precios_base!E69</f>
        <v>25999</v>
      </c>
      <c r="J56" s="83"/>
      <c r="K56" s="84" t="str">
        <f t="shared" si="6"/>
        <v>consultar</v>
      </c>
      <c r="L56" s="77">
        <f>precios_base!E70</f>
        <v>25999</v>
      </c>
      <c r="M56" s="83"/>
      <c r="N56" s="84" t="str">
        <f t="shared" si="7"/>
        <v>consultar</v>
      </c>
      <c r="O56" s="77">
        <f>precios_base!E71</f>
        <v>24990</v>
      </c>
      <c r="P56" s="83"/>
      <c r="Q56" s="84" t="str">
        <f t="shared" si="8"/>
        <v>consultar</v>
      </c>
    </row>
    <row r="57" ht="15.75" customHeight="1">
      <c r="A57" s="29" t="s">
        <v>29</v>
      </c>
      <c r="B57" s="76"/>
      <c r="C57" s="31" t="s">
        <v>108</v>
      </c>
      <c r="D57" s="31" t="s">
        <v>109</v>
      </c>
      <c r="E57" s="31" t="s">
        <v>110</v>
      </c>
      <c r="F57" s="77">
        <f>precios_base!E76</f>
        <v>11900</v>
      </c>
      <c r="G57" s="83"/>
      <c r="H57" s="84" t="str">
        <f t="shared" si="5"/>
        <v>consultar</v>
      </c>
      <c r="I57" s="77">
        <f>precios_base!E77</f>
        <v>11900</v>
      </c>
      <c r="J57" s="83"/>
      <c r="K57" s="84" t="str">
        <f t="shared" si="6"/>
        <v>consultar</v>
      </c>
      <c r="L57" s="77">
        <f>precios_base!E78</f>
        <v>10900</v>
      </c>
      <c r="M57" s="83"/>
      <c r="N57" s="84" t="str">
        <f t="shared" si="7"/>
        <v>consultar</v>
      </c>
      <c r="O57" s="77">
        <f>precios_base!E79</f>
        <v>10900</v>
      </c>
      <c r="P57" s="83"/>
      <c r="Q57" s="84" t="str">
        <f t="shared" si="8"/>
        <v>consultar</v>
      </c>
    </row>
    <row r="58" ht="15.75" customHeight="1">
      <c r="A58" s="65" t="s">
        <v>28</v>
      </c>
      <c r="B58" s="85"/>
      <c r="C58" s="47" t="s">
        <v>134</v>
      </c>
      <c r="D58" s="47" t="s">
        <v>109</v>
      </c>
      <c r="E58" s="47"/>
      <c r="F58" s="86">
        <f>precios_base!E72</f>
        <v>264900</v>
      </c>
      <c r="G58" s="86" t="str">
        <f>precios_personalizacion!F61</f>
        <v/>
      </c>
      <c r="H58" s="78" t="str">
        <f>IF(AND(ISNUMBER(precios_base!E72),ISNUMBER(precios_personalizacion!F61)),precios_base!E72+precios_personalizacion!F61,"consultar")</f>
        <v>consultar</v>
      </c>
      <c r="I58" s="86">
        <f>precios_base!E73</f>
        <v>247900</v>
      </c>
      <c r="J58" s="86" t="str">
        <f>precios_personalizacion!G61</f>
        <v/>
      </c>
      <c r="K58" s="78" t="str">
        <f>IF(AND(ISNUMBER(precios_base!E73),ISNUMBER(precios_personalizacion!G61)),precios_base!E73+precios_personalizacion!G61,"consultar")</f>
        <v>consultar</v>
      </c>
      <c r="L58" s="86">
        <f>precios_base!E74</f>
        <v>247900</v>
      </c>
      <c r="M58" s="86" t="str">
        <f>precios_personalizacion!H61</f>
        <v/>
      </c>
      <c r="N58" s="78" t="str">
        <f>IF(AND(ISNUMBER(precios_base!E74),ISNUMBER(precios_personalizacion!H61)),precios_base!E74+precios_personalizacion!H61,"consultar")</f>
        <v>consultar</v>
      </c>
      <c r="O58" s="86">
        <f>precios_base!E75</f>
        <v>245990</v>
      </c>
      <c r="P58" s="86" t="str">
        <f>precios_personalizacion!I61</f>
        <v/>
      </c>
      <c r="Q58" s="78" t="str">
        <f>IF(AND(ISNUMBER(precios_base!E75),ISNUMBER(precios_personalizacion!I61)),precios_base!E75+precios_personalizacion!I61,"consultar")</f>
        <v>consultar</v>
      </c>
    </row>
    <row r="59" ht="15.75" customHeight="1">
      <c r="A59" s="29" t="s">
        <v>59</v>
      </c>
      <c r="B59" s="76"/>
      <c r="C59" s="31" t="s">
        <v>108</v>
      </c>
      <c r="D59" s="31" t="s">
        <v>109</v>
      </c>
      <c r="E59" s="31" t="s">
        <v>110</v>
      </c>
      <c r="F59" s="77" t="str">
        <f>precios_base!E213</f>
        <v/>
      </c>
      <c r="G59" s="77" t="str">
        <f>precios_personalizacion!F91</f>
        <v/>
      </c>
      <c r="H59" s="78" t="str">
        <f>IF(AND(ISNUMBER(precios_base!E213),ISNUMBER(precios_personalizacion!F91)),precios_base!E213+precios_personalizacion!F91,"consultar")</f>
        <v>consultar</v>
      </c>
      <c r="I59" s="77" t="str">
        <f>precios_base!E214</f>
        <v/>
      </c>
      <c r="J59" s="77" t="str">
        <f>precios_personalizacion!G91</f>
        <v/>
      </c>
      <c r="K59" s="78" t="str">
        <f>IF(AND(ISNUMBER(precios_base!E214),ISNUMBER(precios_personalizacion!G91)),precios_base!E214+precios_personalizacion!G91,"consultar")</f>
        <v>consultar</v>
      </c>
      <c r="L59" s="77" t="str">
        <f>precios_base!E215</f>
        <v/>
      </c>
      <c r="M59" s="77" t="str">
        <f>precios_personalizacion!H91</f>
        <v/>
      </c>
      <c r="N59" s="78" t="str">
        <f>IF(AND(ISNUMBER(precios_base!E215),ISNUMBER(precios_personalizacion!H91)),precios_base!E215+precios_personalizacion!H91,"consultar")</f>
        <v>consultar</v>
      </c>
      <c r="O59" s="77" t="str">
        <f>precios_base!E216</f>
        <v/>
      </c>
      <c r="P59" s="77" t="str">
        <f>precios_personalizacion!I91</f>
        <v/>
      </c>
      <c r="Q59" s="78" t="str">
        <f>IF(AND(ISNUMBER(precios_base!E216),ISNUMBER(precios_personalizacion!I91)),precios_base!E216+precios_personalizacion!I91,"consultar")</f>
        <v>consultar</v>
      </c>
    </row>
    <row r="60" ht="15.75" customHeight="1">
      <c r="A60" s="35" t="s">
        <v>59</v>
      </c>
      <c r="B60" s="79"/>
      <c r="C60" s="35" t="s">
        <v>115</v>
      </c>
      <c r="D60" s="35" t="s">
        <v>109</v>
      </c>
      <c r="E60" s="35" t="s">
        <v>116</v>
      </c>
      <c r="F60" s="80" t="str">
        <f>precios_base!E213</f>
        <v/>
      </c>
      <c r="G60" s="80" t="str">
        <f>precios_personalizacion!F93</f>
        <v/>
      </c>
      <c r="H60" s="78" t="str">
        <f>IF(AND(ISNUMBER(precios_base!E213),ISNUMBER(precios_personalizacion!F93)),precios_base!E213+precios_personalizacion!F93,"consultar")</f>
        <v>consultar</v>
      </c>
      <c r="I60" s="80" t="str">
        <f>precios_base!E214</f>
        <v/>
      </c>
      <c r="J60" s="80" t="str">
        <f>precios_personalizacion!G93</f>
        <v/>
      </c>
      <c r="K60" s="78" t="str">
        <f>IF(AND(ISNUMBER(precios_base!E214),ISNUMBER(precios_personalizacion!G93)),precios_base!E214+precios_personalizacion!G93,"consultar")</f>
        <v>consultar</v>
      </c>
      <c r="L60" s="80" t="str">
        <f>precios_base!E215</f>
        <v/>
      </c>
      <c r="M60" s="80" t="str">
        <f>precios_personalizacion!H93</f>
        <v/>
      </c>
      <c r="N60" s="78" t="str">
        <f>IF(AND(ISNUMBER(precios_base!E215),ISNUMBER(precios_personalizacion!H93)),precios_base!E215+precios_personalizacion!H93,"consultar")</f>
        <v>consultar</v>
      </c>
      <c r="O60" s="80" t="str">
        <f>precios_base!E216</f>
        <v/>
      </c>
      <c r="P60" s="80" t="str">
        <f>precios_personalizacion!I93</f>
        <v/>
      </c>
      <c r="Q60" s="78" t="str">
        <f>IF(AND(ISNUMBER(precios_base!E216),ISNUMBER(precios_personalizacion!I93)),precios_base!E216+precios_personalizacion!I93,"consultar")</f>
        <v>consultar</v>
      </c>
    </row>
    <row r="61" ht="15.75" customHeight="1">
      <c r="A61" s="65" t="s">
        <v>60</v>
      </c>
      <c r="B61" s="85"/>
      <c r="C61" s="47" t="s">
        <v>134</v>
      </c>
      <c r="D61" s="47" t="s">
        <v>109</v>
      </c>
      <c r="E61" s="47"/>
      <c r="F61" s="86" t="str">
        <f>precios_base!E217</f>
        <v/>
      </c>
      <c r="G61" s="86" t="str">
        <f>precios_personalizacion!F94</f>
        <v/>
      </c>
      <c r="H61" s="78" t="str">
        <f>IF(AND(ISNUMBER(precios_base!E217),ISNUMBER(precios_personalizacion!F94)),precios_base!E217+precios_personalizacion!F94,"consultar")</f>
        <v>consultar</v>
      </c>
      <c r="I61" s="86" t="str">
        <f>precios_base!E218</f>
        <v/>
      </c>
      <c r="J61" s="86" t="str">
        <f>precios_personalizacion!G94</f>
        <v/>
      </c>
      <c r="K61" s="78" t="str">
        <f>IF(AND(ISNUMBER(precios_base!E218),ISNUMBER(precios_personalizacion!G94)),precios_base!E218+precios_personalizacion!G94,"consultar")</f>
        <v>consultar</v>
      </c>
      <c r="L61" s="86" t="str">
        <f>precios_base!E219</f>
        <v/>
      </c>
      <c r="M61" s="86" t="str">
        <f>precios_personalizacion!H94</f>
        <v/>
      </c>
      <c r="N61" s="78" t="str">
        <f>IF(AND(ISNUMBER(precios_base!E219),ISNUMBER(precios_personalizacion!H94)),precios_base!E219+precios_personalizacion!H94,"consultar")</f>
        <v>consultar</v>
      </c>
      <c r="O61" s="86" t="str">
        <f>precios_base!E220</f>
        <v/>
      </c>
      <c r="P61" s="86" t="str">
        <f>precios_personalizacion!I94</f>
        <v/>
      </c>
      <c r="Q61" s="78" t="str">
        <f>IF(AND(ISNUMBER(precios_base!E220),ISNUMBER(precios_personalizacion!I94)),precios_base!E220+precios_personalizacion!I94,"consultar")</f>
        <v>consultar</v>
      </c>
    </row>
    <row r="62" ht="15.75" customHeight="1">
      <c r="A62" s="29" t="s">
        <v>171</v>
      </c>
      <c r="B62" s="76"/>
      <c r="C62" s="31" t="s">
        <v>108</v>
      </c>
      <c r="D62" s="31" t="s">
        <v>109</v>
      </c>
      <c r="E62" s="31" t="s">
        <v>110</v>
      </c>
      <c r="F62" s="77" t="str">
        <f>precios_base!E221</f>
        <v/>
      </c>
      <c r="G62" s="77" t="str">
        <f>precios_personalizacion!F96</f>
        <v/>
      </c>
      <c r="H62" s="78" t="str">
        <f>IF(AND(ISNUMBER(precios_base!E221),ISNUMBER(precios_personalizacion!F96)),precios_base!E221+precios_personalizacion!F96,"consultar")</f>
        <v>consultar</v>
      </c>
      <c r="I62" s="77" t="str">
        <f>precios_base!E222</f>
        <v/>
      </c>
      <c r="J62" s="77" t="str">
        <f>precios_personalizacion!G96</f>
        <v/>
      </c>
      <c r="K62" s="78" t="str">
        <f>IF(AND(ISNUMBER(precios_base!E222),ISNUMBER(precios_personalizacion!G96)),precios_base!E222+precios_personalizacion!G96,"consultar")</f>
        <v>consultar</v>
      </c>
      <c r="L62" s="77" t="str">
        <f>precios_base!E223</f>
        <v/>
      </c>
      <c r="M62" s="77" t="str">
        <f>precios_personalizacion!H96</f>
        <v/>
      </c>
      <c r="N62" s="78" t="str">
        <f>IF(AND(ISNUMBER(precios_base!E223),ISNUMBER(precios_personalizacion!H96)),precios_base!E223+precios_personalizacion!H96,"consultar")</f>
        <v>consultar</v>
      </c>
      <c r="O62" s="77" t="str">
        <f>precios_base!E224</f>
        <v/>
      </c>
      <c r="P62" s="77" t="str">
        <f>precios_personalizacion!I96</f>
        <v/>
      </c>
      <c r="Q62" s="78" t="str">
        <f>IF(AND(ISNUMBER(precios_base!E224),ISNUMBER(precios_personalizacion!I96)),precios_base!E224+precios_personalizacion!I96,"consultar")</f>
        <v>consultar</v>
      </c>
    </row>
    <row r="63" ht="15.75" customHeight="1">
      <c r="A63" s="42" t="s">
        <v>171</v>
      </c>
      <c r="B63" s="81"/>
      <c r="C63" s="42" t="s">
        <v>119</v>
      </c>
      <c r="D63" s="42" t="s">
        <v>109</v>
      </c>
      <c r="E63" s="42"/>
      <c r="F63" s="82" t="str">
        <f>precios_base!E221</f>
        <v/>
      </c>
      <c r="G63" s="82" t="str">
        <f>precios_personalizacion!F98</f>
        <v/>
      </c>
      <c r="H63" s="78" t="str">
        <f>IF(AND(ISNUMBER(precios_base!E221),ISNUMBER(precios_personalizacion!F98)),precios_base!E221+precios_personalizacion!F98,"consultar")</f>
        <v>consultar</v>
      </c>
      <c r="I63" s="82" t="str">
        <f>precios_base!E222</f>
        <v/>
      </c>
      <c r="J63" s="82" t="str">
        <f>precios_personalizacion!G98</f>
        <v/>
      </c>
      <c r="K63" s="78" t="str">
        <f>IF(AND(ISNUMBER(precios_base!E222),ISNUMBER(precios_personalizacion!G98)),precios_base!E222+precios_personalizacion!G98,"consultar")</f>
        <v>consultar</v>
      </c>
      <c r="L63" s="82" t="str">
        <f>precios_base!E223</f>
        <v/>
      </c>
      <c r="M63" s="82" t="str">
        <f>precios_personalizacion!H98</f>
        <v/>
      </c>
      <c r="N63" s="78" t="str">
        <f>IF(AND(ISNUMBER(precios_base!E223),ISNUMBER(precios_personalizacion!H98)),precios_base!E223+precios_personalizacion!H98,"consultar")</f>
        <v>consultar</v>
      </c>
      <c r="O63" s="82" t="str">
        <f>precios_base!E224</f>
        <v/>
      </c>
      <c r="P63" s="82" t="str">
        <f>precios_personalizacion!I98</f>
        <v/>
      </c>
      <c r="Q63" s="78" t="str">
        <f>IF(AND(ISNUMBER(precios_base!E224),ISNUMBER(precios_personalizacion!I98)),precios_base!E224+precios_personalizacion!I98,"consultar")</f>
        <v>consultar</v>
      </c>
    </row>
    <row r="64" ht="15.75" customHeight="1">
      <c r="A64" s="65" t="s">
        <v>36</v>
      </c>
      <c r="B64" s="85"/>
      <c r="C64" s="47" t="s">
        <v>127</v>
      </c>
      <c r="D64" s="47" t="s">
        <v>109</v>
      </c>
      <c r="E64" s="47" t="s">
        <v>128</v>
      </c>
      <c r="F64" s="86">
        <f>precios_base!E104</f>
        <v>18900</v>
      </c>
      <c r="G64" s="83"/>
      <c r="H64" s="84" t="str">
        <f t="shared" ref="H64:H74" si="9">"consultar"</f>
        <v>consultar</v>
      </c>
      <c r="I64" s="86">
        <f>precios_base!E105</f>
        <v>17900</v>
      </c>
      <c r="J64" s="83"/>
      <c r="K64" s="84" t="str">
        <f t="shared" ref="K64:K74" si="10">"consultar"</f>
        <v>consultar</v>
      </c>
      <c r="L64" s="86">
        <f>precios_base!E106</f>
        <v>16900</v>
      </c>
      <c r="M64" s="83"/>
      <c r="N64" s="84" t="str">
        <f t="shared" ref="N64:N74" si="11">"consultar"</f>
        <v>consultar</v>
      </c>
      <c r="O64" s="86">
        <f>precios_base!E107</f>
        <v>15900</v>
      </c>
      <c r="P64" s="83"/>
      <c r="Q64" s="84" t="str">
        <f t="shared" ref="Q64:Q74" si="12">"consultar"</f>
        <v>consultar</v>
      </c>
    </row>
    <row r="65" ht="15.75" customHeight="1">
      <c r="A65" s="31" t="s">
        <v>36</v>
      </c>
      <c r="B65" s="76"/>
      <c r="C65" s="31" t="s">
        <v>108</v>
      </c>
      <c r="D65" s="31" t="s">
        <v>109</v>
      </c>
      <c r="E65" s="31" t="s">
        <v>110</v>
      </c>
      <c r="F65" s="77">
        <f>precios_base!E104</f>
        <v>18900</v>
      </c>
      <c r="G65" s="83"/>
      <c r="H65" s="84" t="str">
        <f t="shared" si="9"/>
        <v>consultar</v>
      </c>
      <c r="I65" s="77">
        <f>precios_base!E105</f>
        <v>17900</v>
      </c>
      <c r="J65" s="83"/>
      <c r="K65" s="84" t="str">
        <f t="shared" si="10"/>
        <v>consultar</v>
      </c>
      <c r="L65" s="77">
        <f>precios_base!E106</f>
        <v>16900</v>
      </c>
      <c r="M65" s="83"/>
      <c r="N65" s="84" t="str">
        <f t="shared" si="11"/>
        <v>consultar</v>
      </c>
      <c r="O65" s="77">
        <f>precios_base!E107</f>
        <v>15900</v>
      </c>
      <c r="P65" s="83"/>
      <c r="Q65" s="84" t="str">
        <f t="shared" si="12"/>
        <v>consultar</v>
      </c>
    </row>
    <row r="66" ht="15.75" customHeight="1">
      <c r="A66" s="65" t="s">
        <v>33</v>
      </c>
      <c r="B66" s="85"/>
      <c r="C66" s="47" t="s">
        <v>127</v>
      </c>
      <c r="D66" s="47" t="s">
        <v>109</v>
      </c>
      <c r="E66" s="47" t="s">
        <v>128</v>
      </c>
      <c r="F66" s="86">
        <f>precios_base!E92</f>
        <v>11900</v>
      </c>
      <c r="G66" s="83"/>
      <c r="H66" s="84" t="str">
        <f t="shared" si="9"/>
        <v>consultar</v>
      </c>
      <c r="I66" s="86">
        <f>precios_base!E93</f>
        <v>11900</v>
      </c>
      <c r="J66" s="83"/>
      <c r="K66" s="84" t="str">
        <f t="shared" si="10"/>
        <v>consultar</v>
      </c>
      <c r="L66" s="86">
        <f>precios_base!E94</f>
        <v>10990</v>
      </c>
      <c r="M66" s="83"/>
      <c r="N66" s="84" t="str">
        <f t="shared" si="11"/>
        <v>consultar</v>
      </c>
      <c r="O66" s="86">
        <f>precios_base!E95</f>
        <v>10990</v>
      </c>
      <c r="P66" s="83"/>
      <c r="Q66" s="84" t="str">
        <f t="shared" si="12"/>
        <v>consultar</v>
      </c>
    </row>
    <row r="67" ht="15.75" customHeight="1">
      <c r="A67" s="31" t="s">
        <v>33</v>
      </c>
      <c r="B67" s="76"/>
      <c r="C67" s="31" t="s">
        <v>108</v>
      </c>
      <c r="D67" s="31" t="s">
        <v>109</v>
      </c>
      <c r="E67" s="31" t="s">
        <v>110</v>
      </c>
      <c r="F67" s="77">
        <f>precios_base!E92</f>
        <v>11900</v>
      </c>
      <c r="G67" s="83"/>
      <c r="H67" s="84" t="str">
        <f t="shared" si="9"/>
        <v>consultar</v>
      </c>
      <c r="I67" s="77">
        <f>precios_base!E93</f>
        <v>11900</v>
      </c>
      <c r="J67" s="83"/>
      <c r="K67" s="84" t="str">
        <f t="shared" si="10"/>
        <v>consultar</v>
      </c>
      <c r="L67" s="77">
        <f>precios_base!E94</f>
        <v>10990</v>
      </c>
      <c r="M67" s="83"/>
      <c r="N67" s="84" t="str">
        <f t="shared" si="11"/>
        <v>consultar</v>
      </c>
      <c r="O67" s="77">
        <f>precios_base!E95</f>
        <v>10990</v>
      </c>
      <c r="P67" s="83"/>
      <c r="Q67" s="84" t="str">
        <f t="shared" si="12"/>
        <v>consultar</v>
      </c>
    </row>
    <row r="68" ht="15.75" customHeight="1">
      <c r="A68" s="29" t="s">
        <v>34</v>
      </c>
      <c r="B68" s="76"/>
      <c r="C68" s="31" t="s">
        <v>108</v>
      </c>
      <c r="D68" s="31" t="s">
        <v>109</v>
      </c>
      <c r="E68" s="31" t="s">
        <v>110</v>
      </c>
      <c r="F68" s="77">
        <f>precios_base!E96</f>
        <v>11900</v>
      </c>
      <c r="G68" s="83"/>
      <c r="H68" s="84" t="str">
        <f t="shared" si="9"/>
        <v>consultar</v>
      </c>
      <c r="I68" s="77">
        <f>precios_base!E97</f>
        <v>11900</v>
      </c>
      <c r="J68" s="83"/>
      <c r="K68" s="84" t="str">
        <f t="shared" si="10"/>
        <v>consultar</v>
      </c>
      <c r="L68" s="77">
        <f>precios_base!E98</f>
        <v>10990</v>
      </c>
      <c r="M68" s="83"/>
      <c r="N68" s="84" t="str">
        <f t="shared" si="11"/>
        <v>consultar</v>
      </c>
      <c r="O68" s="77">
        <f>precios_base!E99</f>
        <v>10990</v>
      </c>
      <c r="P68" s="83"/>
      <c r="Q68" s="84" t="str">
        <f t="shared" si="12"/>
        <v>consultar</v>
      </c>
    </row>
    <row r="69" ht="15.75" customHeight="1">
      <c r="A69" s="29" t="s">
        <v>35</v>
      </c>
      <c r="B69" s="76"/>
      <c r="C69" s="31" t="s">
        <v>108</v>
      </c>
      <c r="D69" s="31" t="s">
        <v>109</v>
      </c>
      <c r="E69" s="31" t="s">
        <v>110</v>
      </c>
      <c r="F69" s="77">
        <f>precios_base!E100</f>
        <v>10900</v>
      </c>
      <c r="G69" s="83"/>
      <c r="H69" s="84" t="str">
        <f t="shared" si="9"/>
        <v>consultar</v>
      </c>
      <c r="I69" s="77">
        <f>precios_base!E101</f>
        <v>10900</v>
      </c>
      <c r="J69" s="83"/>
      <c r="K69" s="84" t="str">
        <f t="shared" si="10"/>
        <v>consultar</v>
      </c>
      <c r="L69" s="77">
        <f>precios_base!E102</f>
        <v>9999</v>
      </c>
      <c r="M69" s="83"/>
      <c r="N69" s="84" t="str">
        <f t="shared" si="11"/>
        <v>consultar</v>
      </c>
      <c r="O69" s="77">
        <f>precios_base!E103</f>
        <v>9999</v>
      </c>
      <c r="P69" s="83"/>
      <c r="Q69" s="84" t="str">
        <f t="shared" si="12"/>
        <v>consultar</v>
      </c>
    </row>
    <row r="70" ht="15.75" customHeight="1">
      <c r="A70" s="65" t="s">
        <v>172</v>
      </c>
      <c r="B70" s="85"/>
      <c r="C70" s="47" t="s">
        <v>127</v>
      </c>
      <c r="D70" s="47" t="s">
        <v>109</v>
      </c>
      <c r="E70" s="47" t="s">
        <v>128</v>
      </c>
      <c r="F70" s="86">
        <f>precios_base!E112</f>
        <v>13900</v>
      </c>
      <c r="G70" s="83"/>
      <c r="H70" s="84" t="str">
        <f t="shared" si="9"/>
        <v>consultar</v>
      </c>
      <c r="I70" s="86">
        <f>precios_base!E113</f>
        <v>12900</v>
      </c>
      <c r="J70" s="83"/>
      <c r="K70" s="84" t="str">
        <f t="shared" si="10"/>
        <v>consultar</v>
      </c>
      <c r="L70" s="86">
        <f>precios_base!E114</f>
        <v>11900</v>
      </c>
      <c r="M70" s="83"/>
      <c r="N70" s="84" t="str">
        <f t="shared" si="11"/>
        <v>consultar</v>
      </c>
      <c r="O70" s="86">
        <f>precios_base!E115</f>
        <v>10900</v>
      </c>
      <c r="P70" s="83"/>
      <c r="Q70" s="84" t="str">
        <f t="shared" si="12"/>
        <v>consultar</v>
      </c>
    </row>
    <row r="71" ht="15.75" customHeight="1">
      <c r="A71" s="65" t="s">
        <v>173</v>
      </c>
      <c r="B71" s="85"/>
      <c r="C71" s="47" t="s">
        <v>134</v>
      </c>
      <c r="D71" s="47" t="s">
        <v>109</v>
      </c>
      <c r="E71" s="47"/>
      <c r="F71" s="86">
        <f>precios_base!E120</f>
        <v>8999</v>
      </c>
      <c r="G71" s="83"/>
      <c r="H71" s="84" t="str">
        <f t="shared" si="9"/>
        <v>consultar</v>
      </c>
      <c r="I71" s="86">
        <f>precios_base!E121</f>
        <v>7999</v>
      </c>
      <c r="J71" s="83"/>
      <c r="K71" s="84" t="str">
        <f t="shared" si="10"/>
        <v>consultar</v>
      </c>
      <c r="L71" s="86">
        <f>precios_base!E122</f>
        <v>7999</v>
      </c>
      <c r="M71" s="83"/>
      <c r="N71" s="84" t="str">
        <f t="shared" si="11"/>
        <v>consultar</v>
      </c>
      <c r="O71" s="86">
        <f>precios_base!E123</f>
        <v>7990</v>
      </c>
      <c r="P71" s="83"/>
      <c r="Q71" s="84" t="str">
        <f t="shared" si="12"/>
        <v>consultar</v>
      </c>
    </row>
    <row r="72" ht="15.75" customHeight="1">
      <c r="A72" s="29" t="s">
        <v>18</v>
      </c>
      <c r="B72" s="76"/>
      <c r="C72" s="31" t="s">
        <v>108</v>
      </c>
      <c r="D72" s="31" t="s">
        <v>109</v>
      </c>
      <c r="E72" s="31" t="s">
        <v>110</v>
      </c>
      <c r="F72" s="77">
        <f>precios_base!E32</f>
        <v>6999</v>
      </c>
      <c r="G72" s="83"/>
      <c r="H72" s="84" t="str">
        <f t="shared" si="9"/>
        <v>consultar</v>
      </c>
      <c r="I72" s="77">
        <f>precios_base!E33</f>
        <v>6999</v>
      </c>
      <c r="J72" s="83"/>
      <c r="K72" s="84" t="str">
        <f t="shared" si="10"/>
        <v>consultar</v>
      </c>
      <c r="L72" s="77">
        <f>precios_base!E34</f>
        <v>5999</v>
      </c>
      <c r="M72" s="83"/>
      <c r="N72" s="84" t="str">
        <f t="shared" si="11"/>
        <v>consultar</v>
      </c>
      <c r="O72" s="77">
        <f>precios_base!E35</f>
        <v>5999</v>
      </c>
      <c r="P72" s="83"/>
      <c r="Q72" s="84" t="str">
        <f t="shared" si="12"/>
        <v>consultar</v>
      </c>
    </row>
    <row r="73" ht="15.75" customHeight="1">
      <c r="A73" s="29" t="s">
        <v>19</v>
      </c>
      <c r="B73" s="76"/>
      <c r="C73" s="31" t="s">
        <v>108</v>
      </c>
      <c r="D73" s="31" t="s">
        <v>109</v>
      </c>
      <c r="E73" s="31" t="s">
        <v>110</v>
      </c>
      <c r="F73" s="77">
        <f>precios_base!E36</f>
        <v>7999</v>
      </c>
      <c r="G73" s="83"/>
      <c r="H73" s="84" t="str">
        <f t="shared" si="9"/>
        <v>consultar</v>
      </c>
      <c r="I73" s="77">
        <f>precios_base!E37</f>
        <v>7999</v>
      </c>
      <c r="J73" s="83"/>
      <c r="K73" s="84" t="str">
        <f t="shared" si="10"/>
        <v>consultar</v>
      </c>
      <c r="L73" s="77">
        <f>precios_base!E38</f>
        <v>6999</v>
      </c>
      <c r="M73" s="83"/>
      <c r="N73" s="84" t="str">
        <f t="shared" si="11"/>
        <v>consultar</v>
      </c>
      <c r="O73" s="77">
        <f>precios_base!E39</f>
        <v>6999</v>
      </c>
      <c r="P73" s="83"/>
      <c r="Q73" s="84" t="str">
        <f t="shared" si="12"/>
        <v>consultar</v>
      </c>
    </row>
    <row r="74" ht="15.75" customHeight="1">
      <c r="A74" s="29" t="s">
        <v>20</v>
      </c>
      <c r="B74" s="76"/>
      <c r="C74" s="31" t="s">
        <v>108</v>
      </c>
      <c r="D74" s="31" t="s">
        <v>109</v>
      </c>
      <c r="E74" s="31" t="s">
        <v>110</v>
      </c>
      <c r="F74" s="77">
        <f>precios_base!E40</f>
        <v>11990</v>
      </c>
      <c r="G74" s="83"/>
      <c r="H74" s="84" t="str">
        <f t="shared" si="9"/>
        <v>consultar</v>
      </c>
      <c r="I74" s="77">
        <f>precios_base!E41</f>
        <v>11990</v>
      </c>
      <c r="J74" s="83"/>
      <c r="K74" s="84" t="str">
        <f t="shared" si="10"/>
        <v>consultar</v>
      </c>
      <c r="L74" s="77">
        <f>precios_base!E42</f>
        <v>10900</v>
      </c>
      <c r="M74" s="83"/>
      <c r="N74" s="84" t="str">
        <f t="shared" si="11"/>
        <v>consultar</v>
      </c>
      <c r="O74" s="77">
        <f>precios_base!E43</f>
        <v>10900</v>
      </c>
      <c r="P74" s="83"/>
      <c r="Q74" s="84" t="str">
        <f t="shared" si="12"/>
        <v>consultar</v>
      </c>
    </row>
    <row r="75" ht="15.75" customHeight="1"/>
    <row r="76" ht="15.75" customHeight="1">
      <c r="A76" s="91" t="s">
        <v>174</v>
      </c>
      <c r="B76" s="2"/>
      <c r="C76" s="2"/>
      <c r="D76" s="2"/>
      <c r="E76" s="3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Q1"/>
    <mergeCell ref="A2:Q2"/>
    <mergeCell ref="A76:E7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0"/>
    <col customWidth="1" min="2" max="2" width="60.0"/>
    <col customWidth="1" min="3" max="4" width="5.0"/>
    <col customWidth="1" min="5" max="26" width="8.71"/>
  </cols>
  <sheetData>
    <row r="1" ht="27.75" customHeight="1">
      <c r="A1" s="92" t="s">
        <v>175</v>
      </c>
      <c r="B1" s="2"/>
      <c r="C1" s="2"/>
      <c r="D1" s="3"/>
    </row>
    <row r="3" ht="21.75" customHeight="1">
      <c r="A3" s="93" t="s">
        <v>176</v>
      </c>
      <c r="B3" s="94"/>
      <c r="C3" s="94"/>
      <c r="D3" s="95"/>
    </row>
    <row r="4" ht="18.0" customHeight="1">
      <c r="A4" s="96" t="s">
        <v>177</v>
      </c>
      <c r="B4" s="97" t="s">
        <v>178</v>
      </c>
      <c r="C4" s="94"/>
      <c r="D4" s="95"/>
    </row>
    <row r="5" ht="18.0" customHeight="1">
      <c r="A5" s="96" t="s">
        <v>179</v>
      </c>
      <c r="B5" s="97" t="s">
        <v>180</v>
      </c>
      <c r="C5" s="94"/>
      <c r="D5" s="95"/>
    </row>
    <row r="6" ht="18.0" customHeight="1">
      <c r="A6" s="96" t="s">
        <v>181</v>
      </c>
      <c r="B6" s="97" t="s">
        <v>182</v>
      </c>
      <c r="C6" s="94"/>
      <c r="D6" s="95"/>
    </row>
    <row r="7" ht="7.5" customHeight="1"/>
    <row r="8" ht="21.75" customHeight="1">
      <c r="A8" s="93" t="s">
        <v>183</v>
      </c>
      <c r="B8" s="94"/>
      <c r="C8" s="94"/>
      <c r="D8" s="95"/>
    </row>
    <row r="9" ht="18.0" customHeight="1">
      <c r="A9" s="96" t="s">
        <v>184</v>
      </c>
      <c r="B9" s="97" t="s">
        <v>185</v>
      </c>
      <c r="C9" s="94"/>
      <c r="D9" s="95"/>
    </row>
    <row r="10" ht="18.0" customHeight="1">
      <c r="A10" s="96" t="s">
        <v>186</v>
      </c>
      <c r="B10" s="97" t="s">
        <v>187</v>
      </c>
      <c r="C10" s="94"/>
      <c r="D10" s="95"/>
    </row>
    <row r="11" ht="18.0" customHeight="1">
      <c r="A11" s="96" t="s">
        <v>188</v>
      </c>
      <c r="B11" s="97" t="s">
        <v>189</v>
      </c>
      <c r="C11" s="94"/>
      <c r="D11" s="95"/>
    </row>
    <row r="12" ht="18.0" customHeight="1">
      <c r="A12" s="96" t="s">
        <v>190</v>
      </c>
      <c r="B12" s="97" t="s">
        <v>191</v>
      </c>
      <c r="C12" s="94"/>
      <c r="D12" s="95"/>
    </row>
    <row r="13" ht="18.0" customHeight="1">
      <c r="A13" s="96" t="s">
        <v>192</v>
      </c>
      <c r="B13" s="97" t="s">
        <v>193</v>
      </c>
      <c r="C13" s="94"/>
      <c r="D13" s="95"/>
    </row>
    <row r="14" ht="7.5" customHeight="1"/>
    <row r="15" ht="21.75" customHeight="1">
      <c r="A15" s="93" t="s">
        <v>194</v>
      </c>
      <c r="B15" s="94"/>
      <c r="C15" s="94"/>
      <c r="D15" s="95"/>
    </row>
    <row r="16" ht="18.0" customHeight="1">
      <c r="A16" s="96" t="s">
        <v>195</v>
      </c>
      <c r="B16" s="97" t="s">
        <v>196</v>
      </c>
      <c r="C16" s="94"/>
      <c r="D16" s="95"/>
    </row>
    <row r="17" ht="18.0" customHeight="1">
      <c r="A17" s="96" t="s">
        <v>197</v>
      </c>
      <c r="B17" s="97" t="s">
        <v>198</v>
      </c>
      <c r="C17" s="94"/>
      <c r="D17" s="95"/>
    </row>
    <row r="18" ht="18.0" customHeight="1">
      <c r="A18" s="96" t="s">
        <v>199</v>
      </c>
      <c r="B18" s="97" t="s">
        <v>200</v>
      </c>
      <c r="C18" s="94"/>
      <c r="D18" s="95"/>
    </row>
    <row r="19" ht="18.0" customHeight="1">
      <c r="A19" s="96" t="s">
        <v>201</v>
      </c>
      <c r="B19" s="97" t="s">
        <v>202</v>
      </c>
      <c r="C19" s="94"/>
      <c r="D19" s="95"/>
    </row>
    <row r="20" ht="18.0" customHeight="1">
      <c r="A20" s="96" t="s">
        <v>203</v>
      </c>
      <c r="B20" s="97" t="s">
        <v>204</v>
      </c>
      <c r="C20" s="94"/>
      <c r="D20" s="95"/>
    </row>
    <row r="21" ht="7.5" customHeight="1"/>
    <row r="22" ht="21.75" customHeight="1">
      <c r="A22" s="93" t="s">
        <v>205</v>
      </c>
      <c r="B22" s="94"/>
      <c r="C22" s="94"/>
      <c r="D22" s="95"/>
    </row>
    <row r="23" ht="18.0" customHeight="1">
      <c r="A23" s="96" t="s">
        <v>206</v>
      </c>
      <c r="B23" s="97" t="s">
        <v>207</v>
      </c>
      <c r="C23" s="94"/>
      <c r="D23" s="95"/>
    </row>
    <row r="24" ht="18.0" customHeight="1">
      <c r="A24" s="96" t="s">
        <v>208</v>
      </c>
      <c r="B24" s="97" t="s">
        <v>209</v>
      </c>
      <c r="C24" s="94"/>
      <c r="D24" s="9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3:D3"/>
    <mergeCell ref="B4:D4"/>
    <mergeCell ref="B5:D5"/>
    <mergeCell ref="B6:D6"/>
    <mergeCell ref="A8:D8"/>
    <mergeCell ref="B9:D9"/>
    <mergeCell ref="B18:D18"/>
    <mergeCell ref="B19:D19"/>
    <mergeCell ref="B20:D20"/>
    <mergeCell ref="A22:D22"/>
    <mergeCell ref="B23:D23"/>
    <mergeCell ref="B24:D24"/>
    <mergeCell ref="B10:D10"/>
    <mergeCell ref="B11:D11"/>
    <mergeCell ref="B12:D12"/>
    <mergeCell ref="B13:D13"/>
    <mergeCell ref="A15:D15"/>
    <mergeCell ref="B16:D16"/>
    <mergeCell ref="B17:D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2026-03-16T19:59:54Z</dcterms:created>
  <dc:creator>openpyxl</dc:creator>
</cp:coreProperties>
</file>